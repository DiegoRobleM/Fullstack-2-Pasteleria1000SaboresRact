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532ef20a8041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7ae11486ffef4f70"/>
    <x:sheet xmlns:r="http://schemas.openxmlformats.org/officeDocument/2006/relationships" name="Casos de Prueba" sheetId="2" r:id="R8863d31d44804715"/>
    <x:sheet xmlns:r="http://schemas.openxmlformats.org/officeDocument/2006/relationships" name="Resumen" sheetId="3" r:id="R8d7536a0093349cf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A2" authorId="0">
      <x:text>
        <x:r>
          <x:t>Filas de ejemplo (2 a 4): bórrenlas o reemplácenlas por sus propios casos.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<x:sst xmlns:x="http://schemas.openxmlformats.org/spreadsheetml/2006/main">
  <x:si>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Registro de Pruebas Unitarias</x:t>
  </x:si>
  <x:si>
    <x:t xml:space="preserve">Proyecto:</x:t>
  </x:si>
  <x:si>
    <x:t xml:space="preserve">Curso / Asignatura:</x:t>
  </x:si>
  <x:si>
    <x:t xml:space="preserve">Equipo / Integrantes:</x:t>
  </x:si>
  <x:si>
    <x:t xml:space="preserve">Lenguaje y framework de pruebas:</x:t>
  </x:si>
  <x:si>
    <x:t xml:space="preserve">Cómo usar esta planilla</x:t>
  </x:si>
  <x:si>
    <x:t xml:space="preserve">1. Completen los datos del proyecto arriba (celdas amarillas).</x:t>
  </x:si>
  <x:si>
    <x:t xml:space="preserve">2. En la hoja 'Casos de Prueba', agreguen una fila por cada caso de prueba (un test = una fila).</x:t>
  </x:si>
  <x:si>
    <x:t xml:space="preserve">4. Usen IDs correlativos: PU-001, PU-002, ... para poder referenciarlos en el informe.</x:t>
  </x:si>
  <x:si>
    <x:t xml:space="preserve">5. 'Resultado esperado' se escribe ANTES de ejecutar; 'Resultado obtenido' DESPUÉS.</x:t>
  </x:si>
  <x:si>
    <x:t xml:space="preserve">6. Elijan el Estado desde la lista: Pasó, Falló, Pendiente u Omitido.</x:t>
  </x:si>
  <x:si>
    <x:t xml:space="preserve">7. Si un test falla, describan el error en 'Observaciones' y, al corregirlo, actualicen el estado.</x:t>
  </x:si>
  <x:si>
    <x:t xml:space="preserve">8. La hoja 'Resumen' se calcula sola: no hay que escribir nada ahí.</x:t>
  </x:si>
  <x:si>
    <x:t xml:space="preserve">Tipos de caso sugeridos:</x:t>
  </x:si>
  <x:si>
    <x:t xml:space="preserve">• Caso normal: entrada válida típica.</x:t>
  </x:si>
  <x:si>
    <x:t xml:space="preserve">• Caso borde: límites (0, vacío, máximo, mínimo, un solo elemento).</x:t>
  </x:si>
  <x:si>
    <x:t xml:space="preserve">• Caso de error: entrada inválida que debería lanzar excepción o devolver error.</x:t>
  </x:si>
  <x:si>
    <x:t xml:space="preserve">ID</x:t>
  </x:si>
  <x:si>
    <x:t xml:space="preserve">Módulo / Clase</x:t>
  </x:si>
  <x:si>
    <x:t xml:space="preserve">Función / Método</x:t>
  </x:si>
  <x:si>
    <x:t xml:space="preserve">Tipo de caso</x:t>
  </x:si>
  <x:si>
    <x:t xml:space="preserve">Descripción del caso</x:t>
  </x:si>
  <x:si>
    <x:t xml:space="preserve">Datos de entrada</x:t>
  </x:si>
  <x:si>
    <x:t xml:space="preserve">Resultado esperado</x:t>
  </x:si>
  <x:si>
    <x:t xml:space="preserve">Resultado obtenido</x:t>
  </x:si>
  <x:si>
    <x:t xml:space="preserve">Estado</x:t>
  </x:si>
  <x:si>
    <x:t xml:space="preserve">Responsable</x:t>
  </x:si>
  <x:si>
    <x:t xml:space="preserve">Fecha ejecución</x:t>
  </x:si>
  <x:si>
    <x:t xml:space="preserve">Observaciones</x:t>
  </x:si>
  <x:si>
    <x:t xml:space="preserve">Resumen de Pruebas</x:t>
  </x:si>
  <x:si>
    <x:t xml:space="preserve">Total de casos</x:t>
  </x:si>
  <x:si>
    <x:t xml:space="preserve">Pasó</x:t>
  </x:si>
  <x:si>
    <x:t xml:space="preserve">Falló</x:t>
  </x:si>
  <x:si>
    <x:t xml:space="preserve">Pendiente</x:t>
  </x:si>
  <x:si>
    <x:t xml:space="preserve">Omitido</x:t>
  </x:si>
  <x:si>
    <x:t xml:space="preserve">Sin estado</x:t>
  </x:si>
  <x:si>
    <x:t xml:space="preserve">% de éxito (Pasó / ejecutados)</x:t>
  </x:si>
  <x:si>
    <x:t xml:space="preserve">% de avance (ejecutados / total)</x:t>
  </x:si>
  <x:si>
    <x:t xml:space="preserve">Por tipo de caso</x:t>
  </x:si>
  <x:si>
    <x:t xml:space="preserve">Tipo</x:t>
  </x:si>
  <x:si>
    <x:t xml:space="preserve">Total</x:t>
  </x:si>
  <x:si>
    <x:t xml:space="preserve">Normal</x:t>
  </x:si>
  <x:si>
    <x:t xml:space="preserve">Borde</x:t>
  </x:si>
  <x:si>
    <x:t xml:space="preserve">Error</x:t>
  </x:si>
  <x:si>
    <x:t xml:space="preserve">Esta hoja se calcula automáticamente desde 'Casos de Prueba'.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</x:si>
</x:sst>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dd\-mm\-yyyy"/>
    <x:numFmt numFmtId="166" formatCode="General"/>
    <x:numFmt numFmtId="167" formatCode="0.0%"/>
    <x:numFmt numFmtId="200" formatCode="dd-mm-yyyy"/>
    <x:numFmt numFmtId="201" formatCode="0"/>
    <x:numFmt numFmtId="202" formatCode="0.00%"/>
  </x:numFmts>
  <x:fonts count="24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color rgb="FF1F4E78"/>
      <x:name val="Arial"/>
    </x:font>
    <x:font>
      <x:b/>
      <x:sz val="11"/>
      <x:name val="Arial"/>
    </x:font>
    <x:font>
      <x:sz val="11"/>
      <x:color rgb="FF000000"/>
      <x:name val="Arial"/>
    </x:font>
    <x:font>
      <x:i/>
      <x:sz val="11"/>
      <x:color rgb="FF808080"/>
      <x:name val="Arial"/>
    </x:font>
    <x:font>
      <x:b/>
      <x:sz val="12"/>
      <x:color rgb="FF1F4E78"/>
      <x:name val="Arial"/>
    </x:font>
    <x:font>
      <x:sz val="11"/>
      <x:name val="Arial"/>
    </x:font>
    <x:font>
      <x:b/>
      <x:sz val="11"/>
      <x:color rgb="FFFFFFFF"/>
      <x:name val="Arial"/>
    </x:font>
    <x:font>
      <x:sz val="10"/>
      <x:name val="Arial"/>
      <x:family val="2"/>
    </x:font>
    <x:font>
      <x:b/>
      <x:sz val="16"/>
      <x:color rgb="FF1F4E78"/>
      <x:name val="Calibri"/>
    </x:font>
    <x:font>
      <x:b/>
      <x:sz val="11"/>
      <x:name val="Calibri"/>
    </x:font>
    <x:font>
      <x:sz val="11"/>
      <x:color rgb="FF000000"/>
      <x:name val="Calibri"/>
    </x:font>
    <x:font>
      <x:i/>
      <x:sz val="11"/>
      <x:color rgb="FF808080"/>
      <x:name val="Calibri"/>
    </x:font>
    <x:font>
      <x:b/>
      <x:sz val="12"/>
      <x:color rgb="FF1F4E78"/>
      <x:name val="Calibri"/>
    </x:font>
    <x:font>
      <x:sz val="11"/>
      <x:name val="Calibri"/>
    </x:font>
    <x:font>
      <x:b/>
      <x:sz val="11"/>
      <x:color rgb="FF1F4E78"/>
      <x:name val="Calibri"/>
    </x:font>
    <x:font>
      <x:sz val="11"/>
      <x:color rgb="FF000000"/>
      <x:name val="Calibri"/>
    </x:font>
    <x:font>
      <x:sz val="11"/>
      <x:color rgb="FF808080"/>
      <x:name val="Calibri"/>
    </x:font>
    <x:font>
      <x:sz val="11"/>
      <x:color theme="1"/>
      <x:name val="Calibri"/>
      <x:family val="2"/>
    </x:font>
    <x:font>
      <x:b/>
      <x:sz val="18"/>
      <x:color rgb="FF1F4E78"/>
      <x:name val="Calibri"/>
    </x:font>
    <x:font>
      <x:b/>
      <x:sz val="11"/>
      <x:color rgb="FFFFFFFF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FFF9E5"/>
      </x:patternFill>
    </x:fill>
    <x:fill>
      <x:patternFill patternType="solid">
        <x:fgColor rgb="FF1F4E78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D9D9D9"/>
      </x:patternFill>
    </x:fill>
    <x:fill>
      <x:patternFill patternType="solid">
        <x:fgColor rgb="FF1F4E78"/>
      </x:patternFill>
    </x:fill>
    <x:fill>
      <x:patternFill patternType="solid">
        <x:fgColor rgb="FFFFF9E6"/>
      </x:patternFill>
    </x:fill>
  </x:fills>
  <x:borders count="2">
    <x:border diagonalUp="0" diagonalDown="0">
      <x:left/>
      <x:right/>
      <x:top/>
      <x:bottom/>
      <x:diagonal/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9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5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2" borderId="1" xfId="0" applyFont="1" applyBorder="1" applyAlignment="0" applyProtection="0">
      <x:alignment horizontal="general" vertical="bottom" wrapText="0" shrinkToFit="0"/>
      <x:protection locked="1" hidden="0"/>
    </x:xf>
    <x:xf numFmtId="164" fontId="7" fillId="2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9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0" fillId="3" borderId="1" xfId="0" applyFont="1" applyBorder="1" applyAlignment="1" applyProtection="0">
      <x:alignment horizontal="center" vertical="center" wrapText="1" shrinkToFit="0"/>
      <x:protection locked="1" hidden="0"/>
    </x:xf>
    <x:xf numFmtId="164" fontId="9" fillId="2" borderId="1" xfId="0" applyFont="1" applyBorder="1" applyAlignment="1" applyProtection="0">
      <x:alignment horizontal="general" vertical="top" wrapText="1" shrinkToFit="0"/>
      <x:protection locked="1" hidden="0"/>
    </x:xf>
    <x:xf numFmtId="165" fontId="9" fillId="2" borderId="1" xfId="0" applyFont="1" applyBorder="1" applyAlignment="1" applyProtection="0">
      <x:alignment horizontal="general" vertical="top" wrapText="1" shrinkToFit="0"/>
      <x:protection locked="1" hidden="0"/>
    </x:xf>
    <x:xf numFmtId="164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6" fontId="9" fillId="0" borderId="1" xfId="0" applyFont="1" applyBorder="1" applyAlignment="1" applyProtection="0">
      <x:alignment horizontal="center" vertical="bottom" wrapText="0" shrinkToFit="0"/>
      <x:protection locked="1" hidden="0"/>
    </x:xf>
    <x:xf numFmtId="164" fontId="5" fillId="4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5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6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7" borderId="1" xfId="0" applyFont="1" applyBorder="1" applyAlignment="0" applyProtection="0">
      <x:alignment horizontal="general" vertical="bottom" wrapText="0" shrinkToFit="0"/>
      <x:protection locked="1" hidden="0"/>
    </x:xf>
    <x:xf numFmtId="167" fontId="9" fillId="0" borderId="1" xfId="0" applyFont="1" applyBorder="1" applyAlignment="1" applyProtection="0">
      <x:alignment horizontal="center" vertical="bottom" wrapText="0" shrinkToFit="0"/>
      <x:protection locked="1" hidden="0"/>
    </x:xf>
    <x:xf numFmtId="164" fontId="10" fillId="3" borderId="1" xfId="0" applyFont="1" applyBorder="1" applyAlignment="1" applyProtection="0">
      <x:alignment horizontal="center" vertical="bottom" wrapText="0" shrinkToFit="0"/>
      <x:protection locked="1" hidden="0"/>
    </x:xf>
    <x:xf numFmtId="164" fontId="9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7" fillId="0" borderId="0" xfId="0" applyFont="1" applyBorder="0" applyAlignment="0" applyProtection="0">
      <x:alignment horizontal="general" vertical="bottom" wrapText="0" shrinkToFit="0"/>
      <x:protection locked="1" hidden="0"/>
    </x:xf>
    <x:xf numFmtId="200" fontId="0" fillId="0" borderId="0" xfId="0" applyNumberFormat="1" applyFont="1" applyFill="1" applyBorder="1" applyAlignment="1">
      <x:alignment horizontal="general" vertical="bottom" wrapText="0"/>
    </x:xf>
    <x:xf numFmtId="164" fontId="12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13" fillId="0" borderId="0" xfId="0" applyNumberFormat="1" applyFont="1" applyFill="1" applyBorder="1" applyAlignment="1">
      <x:alignment horizontal="general" vertical="bottom" wrapText="0"/>
    </x:xf>
    <x:xf numFmtId="164" fontId="14" fillId="2" borderId="1" xfId="0" applyNumberFormat="1" applyFont="1" applyFill="1" applyBorder="1" applyAlignment="1">
      <x:alignment horizontal="general" vertical="bottom" wrapText="0"/>
    </x:xf>
    <x:xf numFmtId="164" fontId="15" fillId="2" borderId="1" xfId="0" applyNumberFormat="1" applyFont="1" applyFill="1" applyBorder="1" applyAlignment="1">
      <x:alignment horizontal="general" vertical="bottom" wrapText="0"/>
    </x:xf>
    <x:xf numFmtId="164" fontId="16" fillId="0" borderId="0" xfId="0" applyNumberFormat="1" applyFont="1" applyFill="1" applyBorder="1" applyAlignment="1">
      <x:alignment horizontal="general" vertical="bottom" wrapText="0"/>
    </x:xf>
    <x:xf numFmtId="164" fontId="17" fillId="0" borderId="0" xfId="0" applyNumberFormat="1" applyFont="1" applyFill="1" applyBorder="1" applyAlignment="1">
      <x:alignment horizontal="general" vertical="bottom" wrapText="0"/>
    </x:xf>
    <x:xf numFmtId="164" fontId="18" fillId="0" borderId="0" xfId="0" applyNumberFormat="1" applyFont="1" applyFill="1" applyBorder="1" applyAlignment="1">
      <x:alignment horizontal="general" vertical="bottom" wrapText="0"/>
    </x:xf>
    <x:xf numFmtId="164" fontId="14" fillId="2" borderId="1" xfId="0" applyNumberFormat="1" applyFont="1" applyFill="1" applyBorder="1" applyAlignment="1">
      <x:alignment horizontal="general" vertical="bottom" wrapText="1"/>
    </x:xf>
    <x:xf numFmtId="164" fontId="15" fillId="2" borderId="1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200" fontId="0" fillId="0" borderId="0" xfId="0" applyNumberFormat="1" applyFont="1" applyFill="1" applyBorder="1" applyAlignment="1">
      <x:alignment horizontal="general" vertical="bottom" wrapText="1"/>
    </x:xf>
    <x:xf numFmtId="164" fontId="19" fillId="2" borderId="1" xfId="0" applyNumberFormat="1" applyFont="1" applyFill="1" applyBorder="1" applyAlignment="1">
      <x:alignment horizontal="general" vertical="bottom" wrapText="1"/>
    </x:xf>
    <x:xf numFmtId="164" fontId="20" fillId="2" borderId="1" xfId="0" applyNumberFormat="1" applyFont="1" applyFill="1" applyBorder="1" applyAlignment="1">
      <x:alignment horizontal="general" vertical="bottom" wrapText="1"/>
    </x:xf>
    <x:xf numFmtId="164" fontId="21" fillId="0" borderId="0" xfId="0" applyNumberFormat="1" applyFont="1" applyFill="1" applyBorder="1" applyAlignment="1">
      <x:alignment horizontal="general" vertical="bottom" wrapText="1"/>
    </x:xf>
    <x:xf numFmtId="200" fontId="21" fillId="0" borderId="0" xfId="0" applyNumberFormat="1" applyFont="1" applyFill="1" applyBorder="1" applyAlignment="1">
      <x:alignment horizontal="general" vertical="bottom" wrapText="1"/>
    </x:xf>
    <x:xf numFmtId="164" fontId="22" fillId="0" borderId="0" xfId="0" applyNumberFormat="1" applyFont="1" applyFill="1" applyBorder="1" applyAlignment="1">
      <x:alignment horizontal="general" vertical="bottom" wrapText="0"/>
    </x:xf>
    <x:xf numFmtId="164" fontId="23" fillId="3" borderId="1" xfId="0" applyNumberFormat="1" applyFont="1" applyFill="1" applyBorder="1" applyAlignment="1">
      <x:alignment horizontal="center" vertical="center" wrapText="1"/>
    </x:xf>
    <x:xf numFmtId="164" fontId="17" fillId="2" borderId="1" xfId="0" applyNumberFormat="1" applyFont="1" applyFill="1" applyBorder="1" applyAlignment="1">
      <x:alignment horizontal="general" vertical="top" wrapText="1"/>
    </x:xf>
    <x:xf numFmtId="165" fontId="17" fillId="2" borderId="1" xfId="0" applyNumberFormat="1" applyFont="1" applyFill="1" applyBorder="1" applyAlignment="1">
      <x:alignment horizontal="general" vertical="top" wrapText="1"/>
    </x:xf>
    <x:xf numFmtId="164" fontId="17" fillId="2" borderId="1" xfId="0" applyNumberFormat="1" applyFont="1" applyFill="1" applyBorder="1" applyAlignment="1">
      <x:alignment horizontal="general" vertical="center" wrapText="1"/>
    </x:xf>
    <x:xf numFmtId="165" fontId="17" fillId="2" borderId="1" xfId="0" applyNumberFormat="1" applyFont="1" applyFill="1" applyBorder="1" applyAlignment="1">
      <x:alignment horizontal="general" vertical="center" wrapText="1"/>
    </x:xf>
    <x:xf numFmtId="164" fontId="23" fillId="8" borderId="1" xfId="0" applyNumberFormat="1" applyFont="1" applyFill="1" applyBorder="1" applyAlignment="1">
      <x:alignment horizontal="center" vertical="center" wrapText="1"/>
    </x:xf>
    <x:xf numFmtId="164" fontId="17" fillId="9" borderId="1" xfId="0" applyNumberFormat="1" applyFont="1" applyFill="1" applyBorder="1" applyAlignment="1">
      <x:alignment horizontal="general" vertical="center" wrapText="1"/>
    </x:xf>
    <x:xf numFmtId="165" fontId="17" fillId="9" borderId="1" xfId="0" applyNumberFormat="1" applyFont="1" applyFill="1" applyBorder="1" applyAlignment="1">
      <x:alignment horizontal="general" vertical="center" wrapText="1"/>
    </x:xf>
    <x:xf numFmtId="200" fontId="17" fillId="9" borderId="1" xfId="0" applyNumberFormat="1" applyFont="1" applyFill="1" applyBorder="1" applyAlignment="1">
      <x:alignment horizontal="general" vertical="center" wrapText="1"/>
    </x:xf>
    <x:xf numFmtId="201" fontId="9" fillId="0" borderId="1" xfId="0" applyNumberFormat="1" applyFont="1" applyFill="1" applyBorder="1" applyAlignment="1">
      <x:alignment horizontal="center" vertical="bottom" wrapText="0"/>
    </x:xf>
    <x:xf numFmtId="202" fontId="9" fillId="0" borderId="1" xfId="0" applyNumberFormat="1" applyFont="1" applyFill="1" applyBorder="1" applyAlignment="1">
      <x:alignment horizontal="center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10">
    <x:dxf>
      <x:fill>
        <x:patternFill>
          <x:bgColor rgb="FF1F4E78"/>
        </x:patternFill>
      </x:fill>
    </x:dxf>
    <x:dxf>
      <x:fill>
        <x:patternFill>
          <x:bgColor rgb="FFFFF9E5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ont>
        <x:b/>
        <x:name val="Arial"/>
      </x:font>
      <x:fill>
        <x:patternFill>
          <x:bgColor rgb="FFC6EFCE"/>
        </x:patternFill>
      </x:fill>
    </x:dxf>
    <x:dxf>
      <x:font>
        <x:b/>
        <x:name val="Arial"/>
      </x:font>
      <x:fill>
        <x:patternFill>
          <x:bgColor rgb="FFFFC7CE"/>
        </x:patternFill>
      </x:fill>
    </x:dxf>
    <x:dxf>
      <x:font>
        <x:b/>
        <x:name val="Arial"/>
      </x:font>
      <x:fill>
        <x:patternFill>
          <x:bgColor rgb="FFFFEB9C"/>
        </x:patternFill>
      </x:fill>
    </x:dxf>
    <x:dxf>
      <x:font>
        <x:b/>
        <x:name val="Arial"/>
      </x:font>
      <x:fill>
        <x:patternFill>
          <x:bgColor rgb="FFD9D9D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9E5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6EFCE"/>
      <x:rgbColor rgb="FFFFEB9C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53590e40984d2c" /><Relationship Type="http://schemas.openxmlformats.org/officeDocument/2006/relationships/theme" Target="/xl/theme/theme1.xml" Id="R558366dc38e64b4b" /><Relationship Type="http://schemas.openxmlformats.org/officeDocument/2006/relationships/sharedStrings" Target="/xl/sharedStrings.xml" Id="Rabc73781689c410c" /><Relationship Type="http://schemas.openxmlformats.org/officeDocument/2006/relationships/worksheet" Target="/xl/worksheets/sheet1.xml" Id="R7ae11486ffef4f70" /><Relationship Type="http://schemas.openxmlformats.org/officeDocument/2006/relationships/worksheet" Target="/xl/worksheets/sheet2.xml" Id="R8863d31d44804715" /><Relationship Type="http://schemas.openxmlformats.org/officeDocument/2006/relationships/worksheet" Target="/xl/worksheets/sheet3.xml" Id="R8d7536a0093349cf" /><Relationship Type="http://schemas.microsoft.com/office/2017/10/relationships/person" Target="/xl/persons/person.xml" Id="R8a60d0a0350e48ee" /></Relationships>
</file>

<file path=xl/persons/person.xml><?xml version="1.0" encoding="utf-8"?>
<xltc:personList xmlns:xltc="http://schemas.microsoft.com/office/spreadsheetml/2018/threadedcomments">
  <xltc:person displayName="Unknown Author" id="{2F320449-6FF0-784E-5A78-7C7DDFA0CA52}"/>
</xltc:personList>
</file>

<file path=xl/tables/table1.xml><?xml version="1.0" encoding="utf-8"?>
<x:table xmlns:x="http://schemas.openxmlformats.org/spreadsheetml/2006/main" id="1" name="CasosUnitarios" displayName="CasosUnitarios" ref="A1:L48" headerRowCount="1" totalsRowCount="0" totalsRowShown="0">
  <x:tableColumns count="12">
    <x:tableColumn id="1" name="ID"/>
    <x:tableColumn id="2" name="Módulo / Clase"/>
    <x:tableColumn id="3" name="Función / Método"/>
    <x:tableColumn id="4" name="Tipo de caso"/>
    <x:tableColumn id="5" name="Descripción del caso"/>
    <x:tableColumn id="6" name="Datos de entrada"/>
    <x:tableColumn id="7" name="Resultado esperado"/>
    <x:tableColumn id="8" name="Resultado obtenido"/>
    <x:tableColumn id="9" name="Estado"/>
    <x:tableColumn id="10" name="Responsable"/>
    <x:tableColumn id="11" name="Fecha ejecución"/>
    <x:tableColumn id="12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aee1054f31647cd" /><Relationship Type="http://schemas.openxmlformats.org/officeDocument/2006/relationships/vmlDrawing" Target="/xl/drawings/vmldrawing.vml" Id="R9c44a4555cab448c" /><Relationship Type="http://schemas.openxmlformats.org/officeDocument/2006/relationships/table" Target="/xl/tables/table1.xml" Id="Rec0fde2a3ade49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41.25" hidden="0" customWidth="1"/>
    <x:col min="2" max="2" width="70" hidden="0" customWidth="1"/>
  </x:cols>
  <x:sheetData>
    <x:row r="1" ht="19.700000762939453" hidden="0">
      <x:c r="A1" s="37" t="s">
        <x:v>0</x:v>
      </x:c>
      <x:c r="B1" s="22"/>
    </x:row>
    <x:row r="2">
      <x:c r="A2" s="22"/>
      <x:c r="B2" s="22"/>
    </x:row>
    <x:row r="3" ht="15" hidden="0">
      <x:c r="A3" s="23" t="s">
        <x:v>1</x:v>
      </x:c>
      <x:c r="B3" s="33" t="str">
        <x:v>Pastelería 1000 Sabores ReactPort</x:v>
      </x:c>
    </x:row>
    <x:row r="4" ht="15" hidden="0">
      <x:c r="A4" s="23" t="s">
        <x:v>2</x:v>
      </x:c>
      <x:c r="B4" s="33" t="str">
        <x:v>DSY1104 — Desarrollo Fullstack II</x:v>
      </x:c>
    </x:row>
    <x:row r="5" ht="15" hidden="0">
      <x:c r="A5" s="23" t="s">
        <x:v>3</x:v>
      </x:c>
      <x:c r="B5" s="33" t="str">
        <x:v>Vicente, Victoria y Diego</x:v>
      </x:c>
    </x:row>
    <x:row r="6" ht="15" hidden="0">
      <x:c r="A6" s="23" t="s">
        <x:v>4</x:v>
      </x:c>
      <x:c r="B6" s="34" t="str">
        <x:v>JavaScript / React — Jasmine y Karma</x:v>
      </x:c>
    </x:row>
    <x:row r="7">
      <x:c r="A7" s="22"/>
      <x:c r="B7" s="35"/>
    </x:row>
    <x:row r="8" ht="15" hidden="0">
      <x:c r="A8" s="28" t="s">
        <x:v>5</x:v>
      </x:c>
      <x:c r="B8" s="35"/>
    </x:row>
    <x:row r="9" ht="18.75" hidden="0" customHeight="1">
      <x:c r="A9" s="27" t="s">
        <x:v>6</x:v>
      </x:c>
      <x:c r="B9" s="35"/>
    </x:row>
    <x:row r="10" ht="18.75" hidden="0" customHeight="1">
      <x:c r="A10" s="27" t="s">
        <x:v>7</x:v>
      </x:c>
      <x:c r="B10" s="35"/>
    </x:row>
    <x:row r="11" ht="18.75" hidden="0" customHeight="1">
      <x:c r="A11" s="27" t="str">
        <x:v>3. Este registro contiene resultados reales; cada nueva ejecución requiere actualizar los casos.</x:v>
      </x:c>
      <x:c r="B11" s="35"/>
    </x:row>
    <x:row r="12" ht="18.75" hidden="0" customHeight="1">
      <x:c r="A12" s="27" t="s">
        <x:v>8</x:v>
      </x:c>
      <x:c r="B12" s="35"/>
    </x:row>
    <x:row r="13" ht="18.75" hidden="0" customHeight="1">
      <x:c r="A13" s="27" t="s">
        <x:v>9</x:v>
      </x:c>
      <x:c r="B13" s="35"/>
    </x:row>
    <x:row r="14" ht="18.75" hidden="0" customHeight="1">
      <x:c r="A14" s="27" t="s">
        <x:v>10</x:v>
      </x:c>
      <x:c r="B14" s="35"/>
    </x:row>
    <x:row r="15" ht="18.75" hidden="0" customHeight="1">
      <x:c r="A15" s="27" t="s">
        <x:v>11</x:v>
      </x:c>
      <x:c r="B15" s="35"/>
    </x:row>
    <x:row r="16" ht="18.75" hidden="0" customHeight="1">
      <x:c r="A16" s="27" t="s">
        <x:v>12</x:v>
      </x:c>
      <x:c r="B16" s="35"/>
    </x:row>
    <x:row r="17" ht="15" hidden="0">
      <x:c r="A17" s="27"/>
      <x:c r="B17" s="35"/>
    </x:row>
    <x:row r="18" ht="15" hidden="0">
      <x:c r="A18" s="23" t="s">
        <x:v>13</x:v>
      </x:c>
      <x:c r="B18" s="35"/>
    </x:row>
    <x:row r="19" ht="15" hidden="0">
      <x:c r="A19" s="27" t="s">
        <x:v>14</x:v>
      </x:c>
      <x:c r="B19" s="35"/>
    </x:row>
    <x:row r="20" ht="15" hidden="0">
      <x:c r="A20" s="27" t="s">
        <x:v>15</x:v>
      </x:c>
      <x:c r="B20" s="35"/>
    </x:row>
    <x:row r="21" ht="15" hidden="0">
      <x:c r="A21" s="27" t="s">
        <x:v>16</x:v>
      </x:c>
      <x:c r="B21" s="35"/>
    </x:row>
    <x:row r="22">
      <x:c r="A22" s="22"/>
      <x:c r="B22" s="35"/>
    </x:row>
    <x:row r="23" ht="28.5" customHeight="1">
      <x:c r="A23" s="22" t="str">
        <x:v>Fuente de los resultados:</x:v>
      </x:c>
      <x:c r="B23" s="35" t="str">
        <x:v>Ejecución automática Jasmine/Karma; resultados-pruebas.json</x:v>
      </x:c>
    </x:row>
    <x:row r="24" ht="28.5" customHeight="1">
      <x:c r="A24" s="22" t="str">
        <x:v>Fecha de ejecución (Chile):</x:v>
      </x:c>
      <x:c r="B24" s="36" t="d">
        <x:v>2026-10-14T00:00:00.000Z</x:v>
      </x:c>
    </x:row>
    <x:row r="25" ht="28.5" customHeight="1">
      <x:c r="A25" s="22" t="str">
        <x:v>Responsables:</x:v>
      </x:c>
      <x:c r="B25" s="35" t="str">
        <x:v>Equipo conjunto: Vicente, Victoria y Diego. Sin asignación individual de casos.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796875" defaultRowHeight="15"/>
  <x:cols>
    <x:col min="1" max="1" width="10.630000114440918" hidden="0" customWidth="1"/>
    <x:col min="2" max="2" width="20" hidden="0" customWidth="1"/>
    <x:col min="3" max="3" width="26.25" hidden="0" customWidth="1"/>
    <x:col min="4" max="4" width="11.880000114440918" hidden="0" customWidth="1"/>
    <x:col min="5" max="5" width="37.5" hidden="0" customWidth="1"/>
    <x:col min="6" max="8" width="24" hidden="0" customWidth="1"/>
    <x:col min="9" max="9" width="11.25" hidden="0" customWidth="1"/>
    <x:col min="10" max="10" width="24.3799991607666" hidden="0" customWidth="1"/>
    <x:col min="11" max="11" width="15.630000114440918" hidden="0" customWidth="1"/>
    <x:col min="12" max="12" width="31.8799991607666" hidden="0" customWidth="1"/>
    <x:col min="6" max="6" width="42.5" hidden="0" customWidth="1"/>
    <x:col min="7" max="7" width="43.75" hidden="0" customWidth="1"/>
    <x:col min="8" max="8" width="32.5" hidden="0" customWidth="1"/>
  </x:cols>
  <x:sheetData>
    <x:row r="1" ht="39" hidden="0" customHeight="1">
      <x:c r="A1" s="43" t="s">
        <x:v>17</x:v>
      </x:c>
      <x:c r="B1" s="43" t="s">
        <x:v>18</x:v>
      </x:c>
      <x:c r="C1" s="43" t="s">
        <x:v>19</x:v>
      </x:c>
      <x:c r="D1" s="43" t="s">
        <x:v>20</x:v>
      </x:c>
      <x:c r="E1" s="43" t="s">
        <x:v>21</x:v>
      </x:c>
      <x:c r="F1" s="43" t="s">
        <x:v>22</x:v>
      </x:c>
      <x:c r="G1" s="43" t="s">
        <x:v>23</x:v>
      </x:c>
      <x:c r="H1" s="43" t="s">
        <x:v>24</x:v>
      </x:c>
      <x:c r="I1" s="43" t="s">
        <x:v>25</x:v>
      </x:c>
      <x:c r="J1" s="43" t="s">
        <x:v>26</x:v>
      </x:c>
      <x:c r="K1" s="43" t="s">
        <x:v>27</x:v>
      </x:c>
      <x:c r="L1" s="43" t="s">
        <x:v>28</x:v>
      </x:c>
    </x:row>
    <x:row r="2" ht="78.75" hidden="0" customHeight="1">
      <x:c r="A2" s="44" t="str">
        <x:v>PU-001</x:v>
      </x:c>
      <x:c r="B2" s="44" t="str">
        <x:v>Almacenamiento</x:v>
      </x:c>
      <x:c r="C2" s="44" t="str">
        <x:v>leerArreglo</x:v>
      </x:c>
      <x:c r="D2" s="44" t="str">
        <x:v>Error</x:v>
      </x:c>
      <x:c r="E2" s="44" t="str">
        <x:v>Recupera almacenamiento inválido</x:v>
      </x:c>
      <x:c r="F2" s="44" t="str">
        <x:v>JSON corrupto y objeto en una clave de arreglo</x:v>
      </x:c>
      <x:c r="G2" s="44" t="str">
        <x:v>Devuelve [] sin lanzar errores</x:v>
      </x:c>
      <x:c r="H2" s="44" t="str">
        <x:v>Todas las aserciones del caso se aprobaron</x:v>
      </x:c>
      <x:c r="I2" s="44" t="str">
        <x:v>Pasó</x:v>
      </x:c>
      <x:c r="J2" s="44" t="str">
        <x:v>Vicente, Victoria y Diego</x:v>
      </x:c>
      <x:c r="K2" s="46" t="d">
        <x:v>2026-10-14T00:00:00.000Z</x:v>
      </x:c>
      <x:c r="L2" s="44" t="str">
        <x:v>Duración: 6 ms. Chrome Headless 155.0.0.0 (Windows 10)</x:v>
      </x:c>
    </x:row>
    <x:row r="3" ht="78.75" hidden="0" customHeight="1">
      <x:c r="A3" s="44" t="str">
        <x:v>PU-002</x:v>
      </x:c>
      <x:c r="B3" s="44" t="str">
        <x:v>Carrito</x:v>
      </x:c>
      <x:c r="C3" s="44" t="str">
        <x:v>normalizarCarrito</x:v>
      </x:c>
      <x:c r="D3" s="44" t="str">
        <x:v>Normal</x:v>
      </x:c>
      <x:c r="E3" s="44" t="str">
        <x:v>Normaliza carrito con el catálogo vigente</x:v>
      </x:c>
      <x:c r="F3" s="44" t="str">
        <x:v>Cantidad 2, precio alterado y producto inexistente</x:v>
      </x:c>
      <x:c r="G3" s="44" t="str">
        <x:v>Conserva el producto disponible, cantidad 2 y precio de catálogo</x:v>
      </x:c>
      <x:c r="H3" s="44" t="str">
        <x:v>Todas las aserciones del caso se aprobaron</x:v>
      </x:c>
      <x:c r="I3" s="44" t="str">
        <x:v>Pasó</x:v>
      </x:c>
      <x:c r="J3" s="44" t="str">
        <x:v>Vicente, Victoria y Diego</x:v>
      </x:c>
      <x:c r="K3" s="46" t="d">
        <x:v>2026-10-14T00:00:00.000Z</x:v>
      </x:c>
      <x:c r="L3" s="44" t="str">
        <x:v>Duración: 2 ms. Chrome Headless 155.0.0.0 (Windows 10)</x:v>
      </x:c>
    </x:row>
    <x:row r="4" ht="78.75" hidden="0" customHeight="1">
      <x:c r="A4" s="44" t="str">
        <x:v>PU-003</x:v>
      </x:c>
      <x:c r="B4" s="44" t="str">
        <x:v>Carrito</x:v>
      </x:c>
      <x:c r="C4" s="44" t="str">
        <x:v>agregarAlCarrito</x:v>
      </x:c>
      <x:c r="D4" s="44" t="str">
        <x:v>Normal</x:v>
      </x:c>
      <x:c r="E4" s="44" t="str">
        <x:v>Acumula productos sin mutar el carrito anterior</x:v>
      </x:c>
      <x:c r="F4" s="44" t="str">
        <x:v>Una unidad existente y tres añadidas</x:v>
      </x:c>
      <x:c r="G4" s="44" t="str">
        <x:v>Una fila con cuatro unidades; entrada original intacta</x:v>
      </x:c>
      <x:c r="H4" s="44" t="str">
        <x:v>Todas las aserciones del caso se aprobaron</x:v>
      </x:c>
      <x:c r="I4" s="44" t="str">
        <x:v>Pasó</x:v>
      </x:c>
      <x:c r="J4" s="44" t="str">
        <x:v>Vicente, Victoria y Diego</x:v>
      </x:c>
      <x:c r="K4" s="46" t="d">
        <x:v>2026-10-14T00:00:00.000Z</x:v>
      </x:c>
      <x:c r="L4" s="44" t="str">
        <x:v>Duración: 1 ms. Chrome Headless 155.0.0.0 (Windows 10)</x:v>
      </x:c>
    </x:row>
    <x:row r="5" ht="78.75" hidden="0" customHeight="1">
      <x:c r="A5" s="44" t="str">
        <x:v>PU-004</x:v>
      </x:c>
      <x:c r="B5" s="44" t="str">
        <x:v>Carrito</x:v>
      </x:c>
      <x:c r="C5" s="44" t="str">
        <x:v>agregarAlCarrito</x:v>
      </x:c>
      <x:c r="D5" s="44" t="str">
        <x:v>Error</x:v>
      </x:c>
      <x:c r="E5" s="44" t="str">
        <x:v>Rechaza cantidades inválidas</x:v>
      </x:c>
      <x:c r="F5" s="44" t="str">
        <x:v>Cero, fracción y NaN</x:v>
      </x:c>
      <x:c r="G5" s="44" t="str">
        <x:v>Lanza error y no agrega productos</x:v>
      </x:c>
      <x:c r="H5" s="44" t="str">
        <x:v>Todas las aserciones del caso se aprobaron</x:v>
      </x:c>
      <x:c r="I5" s="44" t="str">
        <x:v>Pasó</x:v>
      </x:c>
      <x:c r="J5" s="44" t="str">
        <x:v>Vicente, Victoria y Diego</x:v>
      </x:c>
      <x:c r="K5" s="46" t="d">
        <x:v>2026-10-14T00:00:00.000Z</x:v>
      </x:c>
      <x:c r="L5" s="44" t="str">
        <x:v>Duración: 1 ms. Chrome Headless 155.0.0.0 (Windows 10)</x:v>
      </x:c>
    </x:row>
    <x:row r="6" ht="78.75" hidden="0" customHeight="1">
      <x:c r="A6" s="44" t="str">
        <x:v>PU-005</x:v>
      </x:c>
      <x:c r="B6" s="44" t="str">
        <x:v>Carrito</x:v>
      </x:c>
      <x:c r="C6" s="44" t="str">
        <x:v>cambiarCantidadCarrito</x:v>
      </x:c>
      <x:c r="D6" s="44" t="str">
        <x:v>Borde</x:v>
      </x:c>
      <x:c r="E6" s="44" t="str">
        <x:v>Quita el producto al disminuir su última unidad</x:v>
      </x:c>
      <x:c r="F6" s="44" t="str">
        <x:v>Carrito con una unidad; variación -1</x:v>
      </x:c>
      <x:c r="G6" s="44" t="str">
        <x:v>Carrito vacío</x:v>
      </x:c>
      <x:c r="H6" s="44" t="str">
        <x:v>Todas las aserciones del caso se aprobaron</x:v>
      </x:c>
      <x:c r="I6" s="44" t="str">
        <x:v>Pasó</x:v>
      </x:c>
      <x:c r="J6" s="44" t="str">
        <x:v>Vicente, Victoria y Diego</x:v>
      </x:c>
      <x:c r="K6" s="46" t="d">
        <x:v>2026-10-14T00:00:00.000Z</x:v>
      </x:c>
      <x:c r="L6" s="44" t="str">
        <x:v>Duración: 1 ms. Chrome Headless 155.0.0.0 (Windows 10)</x:v>
      </x:c>
    </x:row>
    <x:row r="7" ht="78.75" hidden="0" customHeight="1">
      <x:c r="A7" s="44" t="str">
        <x:v>PU-006</x:v>
      </x:c>
      <x:c r="B7" s="44" t="str">
        <x:v>Precios</x:v>
      </x:c>
      <x:c r="C7" s="44" t="str">
        <x:v>precioFinal / totalCarrito</x:v>
      </x:c>
      <x:c r="D7" s="44" t="str">
        <x:v>Borde</x:v>
      </x:c>
      <x:c r="E7" s="44" t="str">
        <x:v>Calcula descuentos y totales en pesos enteros</x:v>
      </x:c>
      <x:c r="F7" s="44" t="str">
        <x:v>Precio 10000, descuento 20%, cantidad 2; descuento 100%</x:v>
      </x:c>
      <x:c r="G7" s="44" t="str">
        <x:v>Precio 8000, total 16000 y precio cero al 100%</x:v>
      </x:c>
      <x:c r="H7" s="44" t="str">
        <x:v>Todas las aserciones del caso se aprobaron</x:v>
      </x:c>
      <x:c r="I7" s="44" t="str">
        <x:v>Pasó</x:v>
      </x:c>
      <x:c r="J7" s="44" t="str">
        <x:v>Vicente, Victoria y Diego</x:v>
      </x:c>
      <x:c r="K7" s="46" t="d">
        <x:v>2026-10-14T00:00:00.000Z</x:v>
      </x:c>
      <x:c r="L7" s="44" t="str">
        <x:v>Duración: 1 ms. Chrome Headless 155.0.0.0 (Windows 10)</x:v>
      </x:c>
    </x:row>
    <x:row r="8" ht="78.75" hidden="0" customHeight="1">
      <x:c r="A8" s="44" t="str">
        <x:v>PU-007</x:v>
      </x:c>
      <x:c r="B8" s="44" t="str">
        <x:v>Productos</x:v>
      </x:c>
      <x:c r="C8" s="44" t="str">
        <x:v>crear / editar / eliminarProducto</x:v>
      </x:c>
      <x:c r="D8" s="44" t="str">
        <x:v>Normal</x:v>
      </x:c>
      <x:c r="E8" s="44" t="str">
        <x:v>Completa CRUD sin cambiar el identificador al editar</x:v>
      </x:c>
      <x:c r="F8" s="44" t="str">
        <x:v>Crear, editar categoría a salados y eliminar</x:v>
      </x:c>
      <x:c r="G8" s="44" t="str">
        <x:v>Persistencia actualizada; ID estable; producto eliminado</x:v>
      </x:c>
      <x:c r="H8" s="44" t="str">
        <x:v>Todas las aserciones del caso se aprobaron</x:v>
      </x:c>
      <x:c r="I8" s="44" t="str">
        <x:v>Pasó</x:v>
      </x:c>
      <x:c r="J8" s="44" t="str">
        <x:v>Vicente, Victoria y Diego</x:v>
      </x:c>
      <x:c r="K8" s="46" t="d">
        <x:v>2026-10-14T00:00:00.000Z</x:v>
      </x:c>
      <x:c r="L8" s="44" t="str">
        <x:v>Duración: 2 ms. Chrome Headless 155.0.0.0 (Windows 10)</x:v>
      </x:c>
    </x:row>
    <x:row r="9" ht="78.75" hidden="0" customHeight="1">
      <x:c r="A9" s="44" t="str">
        <x:v>PU-008</x:v>
      </x:c>
      <x:c r="B9" s="44" t="str">
        <x:v>Productos</x:v>
      </x:c>
      <x:c r="C9" s="44" t="str">
        <x:v>crear / editar / eliminarProducto</x:v>
      </x:c>
      <x:c r="D9" s="44" t="str">
        <x:v>Error</x:v>
      </x:c>
      <x:c r="E9" s="44" t="str">
        <x:v>Valida datos e identificadores en administración</x:v>
      </x:c>
      <x:c r="F9" s="44" t="str">
        <x:v>Precio negativo, descuento 101 e ID desconocido</x:v>
      </x:c>
      <x:c r="G9" s="44" t="str">
        <x:v>Errores sin sobrescribir datos</x:v>
      </x:c>
      <x:c r="H9" s="44" t="str">
        <x:v>Todas las aserciones del caso se aprobaron</x:v>
      </x:c>
      <x:c r="I9" s="44" t="str">
        <x:v>Pasó</x:v>
      </x:c>
      <x:c r="J9" s="44" t="str">
        <x:v>Vicente, Victoria y Diego</x:v>
      </x:c>
      <x:c r="K9" s="46" t="d">
        <x:v>2026-10-14T00:00:00.000Z</x:v>
      </x:c>
      <x:c r="L9" s="44" t="str">
        <x:v>Duración: 1 ms. Chrome Headless 155.0.0.0 (Windows 10)</x:v>
      </x:c>
    </x:row>
    <x:row r="10" ht="78.75" hidden="0" customHeight="1">
      <x:c r="A10" s="44" t="str">
        <x:v>PU-009</x:v>
      </x:c>
      <x:c r="B10" s="44" t="str">
        <x:v>Autenticación</x:v>
      </x:c>
      <x:c r="C10" s="44" t="str">
        <x:v>registrarUsuario</x:v>
      </x:c>
      <x:c r="D10" s="44" t="str">
        <x:v>Error</x:v>
      </x:c>
      <x:c r="E10" s="44" t="str">
        <x:v>Valida un registro vacío</x:v>
      </x:c>
      <x:c r="F10" s="44" t="str">
        <x:v>Formulario sin campos</x:v>
      </x:c>
      <x:c r="G10" s="44" t="str">
        <x:v>Lista de errores; no crea usuario</x:v>
      </x:c>
      <x:c r="H10" s="44" t="str">
        <x:v>Todas las aserciones del caso se aprobaron</x:v>
      </x:c>
      <x:c r="I10" s="44" t="str">
        <x:v>Pasó</x:v>
      </x:c>
      <x:c r="J10" s="44" t="str">
        <x:v>Vicente, Victoria y Diego</x:v>
      </x:c>
      <x:c r="K10" s="46" t="d">
        <x:v>2026-10-14T00:00:00.000Z</x:v>
      </x:c>
      <x:c r="L10" s="44" t="str">
        <x:v>Duración: 1 ms. Chrome Headless 155.0.0.0 (Windows 10)</x:v>
      </x:c>
    </x:row>
    <x:row r="11" ht="78.75" hidden="0" customHeight="1">
      <x:c r="A11" s="44" t="str">
        <x:v>PU-010</x:v>
      </x:c>
      <x:c r="B11" s="44" t="str">
        <x:v>Autenticación</x:v>
      </x:c>
      <x:c r="C11" s="44" t="str">
        <x:v>registrarUsuario</x:v>
      </x:c>
      <x:c r="D11" s="44" t="str">
        <x:v>Borde</x:v>
      </x:c>
      <x:c r="E11" s="44" t="str">
        <x:v>Normaliza correo y evita registros duplicados</x:v>
      </x:c>
      <x:c r="F11" s="44" t="str">
        <x:v>Correo ANA@example.test y rol admin enviado por el cliente</x:v>
      </x:c>
      <x:c r="G11" s="44" t="str">
        <x:v>Correo en minúsculas, rol cliente y segundo registro rechazado</x:v>
      </x:c>
      <x:c r="H11" s="44" t="str">
        <x:v>Todas las aserciones del caso se aprobaron</x:v>
      </x:c>
      <x:c r="I11" s="44" t="str">
        <x:v>Pasó</x:v>
      </x:c>
      <x:c r="J11" s="44" t="str">
        <x:v>Vicente, Victoria y Diego</x:v>
      </x:c>
      <x:c r="K11" s="46" t="d">
        <x:v>2026-10-14T00:00:00.000Z</x:v>
      </x:c>
      <x:c r="L11" s="44" t="str">
        <x:v>Duración: 2 ms. Chrome Headless 155.0.0.0 (Windows 10)</x:v>
      </x:c>
    </x:row>
    <x:row r="12" ht="78.75" hidden="0" customHeight="1">
      <x:c r="A12" s="44" t="str">
        <x:v>PU-011</x:v>
      </x:c>
      <x:c r="B12" s="44" t="str">
        <x:v>Autenticación</x:v>
      </x:c>
      <x:c r="C12" s="44" t="str">
        <x:v>iniciarSesion</x:v>
      </x:c>
      <x:c r="D12" s="44" t="str">
        <x:v>Error</x:v>
      </x:c>
      <x:c r="E12" s="44" t="str">
        <x:v>Rechaza credenciales incorrectas</x:v>
      </x:c>
      <x:c r="F12" s="44" t="str">
        <x:v>Usuario registrado y contraseña incorrecta</x:v>
      </x:c>
      <x:c r="G12" s="44" t="str">
        <x:v>Error; sesión inexistente; solicita limpiar contraseña</x:v>
      </x:c>
      <x:c r="H12" s="44" t="str">
        <x:v>Todas las aserciones del caso se aprobaron</x:v>
      </x:c>
      <x:c r="I12" s="44" t="str">
        <x:v>Pasó</x:v>
      </x:c>
      <x:c r="J12" s="44" t="str">
        <x:v>Vicente, Victoria y Diego</x:v>
      </x:c>
      <x:c r="K12" s="46" t="d">
        <x:v>2026-10-14T00:00:00.000Z</x:v>
      </x:c>
      <x:c r="L12" s="44" t="str">
        <x:v>Duración: 1 ms. Chrome Headless 155.0.0.0 (Windows 10)</x:v>
      </x:c>
    </x:row>
    <x:row r="13" ht="78.75" hidden="0" customHeight="1">
      <x:c r="A13" s="44" t="str">
        <x:v>PU-012</x:v>
      </x:c>
      <x:c r="B13" s="44" t="str">
        <x:v>Autenticación</x:v>
      </x:c>
      <x:c r="C13" s="44" t="str">
        <x:v>iniciarSesion</x:v>
      </x:c>
      <x:c r="D13" s="44" t="str">
        <x:v>Normal</x:v>
      </x:c>
      <x:c r="E13" s="44" t="str">
        <x:v>Guarda sesión temporal sin contraseña</x:v>
      </x:c>
      <x:c r="F13" s="44" t="str">
        <x:v>Login válido sin recordar cuenta</x:v>
      </x:c>
      <x:c r="G13" s="44" t="str">
        <x:v>sessionStorage contiene usuario; localStorage no; sin password</x:v>
      </x:c>
      <x:c r="H13" s="44" t="str">
        <x:v>Todas las aserciones del caso se aprobaron</x:v>
      </x:c>
      <x:c r="I13" s="44" t="str">
        <x:v>Pasó</x:v>
      </x:c>
      <x:c r="J13" s="44" t="str">
        <x:v>Vicente, Victoria y Diego</x:v>
      </x:c>
      <x:c r="K13" s="46" t="d">
        <x:v>2026-10-14T00:00:00.000Z</x:v>
      </x:c>
      <x:c r="L13" s="44" t="str">
        <x:v>Duración: 1 ms. Chrome Headless 155.0.0.0 (Windows 10)</x:v>
      </x:c>
    </x:row>
    <x:row r="14" ht="78.75" hidden="0" customHeight="1">
      <x:c r="A14" s="44" t="str">
        <x:v>PU-013</x:v>
      </x:c>
      <x:c r="B14" s="44" t="str">
        <x:v>Autenticación</x:v>
      </x:c>
      <x:c r="C14" s="44" t="str">
        <x:v>iniciarSesion / obtenerUsuarioActivo</x:v>
      </x:c>
      <x:c r="D14" s="44" t="str">
        <x:v>Error</x:v>
      </x:c>
      <x:c r="E14" s="44" t="str">
        <x:v>Guarda la cuenta recordada y recupera sesión corrupta</x:v>
      </x:c>
      <x:c r="F14" s="44" t="str">
        <x:v>Login con recordarCuenta; luego JSON corrupto</x:v>
      </x:c>
      <x:c r="G14" s="44" t="str">
        <x:v>Sesión en localStorage; dato inválido se limpia</x:v>
      </x:c>
      <x:c r="H14" s="44" t="str">
        <x:v>Todas las aserciones del caso se aprobaron</x:v>
      </x:c>
      <x:c r="I14" s="44" t="str">
        <x:v>Pasó</x:v>
      </x:c>
      <x:c r="J14" s="44" t="str">
        <x:v>Vicente, Victoria y Diego</x:v>
      </x:c>
      <x:c r="K14" s="46" t="d">
        <x:v>2026-10-14T00:00:00.000Z</x:v>
      </x:c>
      <x:c r="L14" s="44" t="str">
        <x:v>Duración: 0 ms. Chrome Headless 155.0.0.0 (Windows 10)</x:v>
      </x:c>
    </x:row>
    <x:row r="15" ht="78.75" hidden="0" customHeight="1">
      <x:c r="A15" s="44" t="str">
        <x:v>PU-014</x:v>
      </x:c>
      <x:c r="B15" s="44" t="str">
        <x:v>Autenticación</x:v>
      </x:c>
      <x:c r="C15" s="44" t="str">
        <x:v>crearAdministradorDemo</x:v>
      </x:c>
      <x:c r="D15" s="44" t="str">
        <x:v>Borde</x:v>
      </x:c>
      <x:c r="E15" s="44" t="str">
        <x:v>Crea administrador demo sin duplicados</x:v>
      </x:c>
      <x:c r="F15" s="44" t="str">
        <x:v>Dos inicializaciones del administrador</x:v>
      </x:c>
      <x:c r="G15" s="44" t="str">
        <x:v>Una sola cuenta con rol admin</x:v>
      </x:c>
      <x:c r="H15" s="44" t="str">
        <x:v>Todas las aserciones del caso se aprobaron</x:v>
      </x:c>
      <x:c r="I15" s="44" t="str">
        <x:v>Pasó</x:v>
      </x:c>
      <x:c r="J15" s="44" t="str">
        <x:v>Vicente, Victoria y Diego</x:v>
      </x:c>
      <x:c r="K15" s="46" t="d">
        <x:v>2026-10-14T00:00:00.000Z</x:v>
      </x:c>
      <x:c r="L15" s="44" t="str">
        <x:v>Duración: 1 ms. Chrome Headless 155.0.0.0 (Windows 10)</x:v>
      </x:c>
    </x:row>
    <x:row r="16" ht="78.75" hidden="0" customHeight="1">
      <x:c r="A16" s="44" t="str">
        <x:v>PU-015</x:v>
      </x:c>
      <x:c r="B16" s="44" t="str">
        <x:v>Consultas</x:v>
      </x:c>
      <x:c r="C16" s="44" t="str">
        <x:v>registrarConsulta / cambiarEstadoConsulta</x:v>
      </x:c>
      <x:c r="D16" s="44" t="str">
        <x:v>Normal</x:v>
      </x:c>
      <x:c r="E16" s="44" t="str">
        <x:v>Normaliza consultas y actualiza su estado</x:v>
      </x:c>
      <x:c r="F16" s="44" t="str">
        <x:v>Correo en mayúsculas y consulta con espacios</x:v>
      </x:c>
      <x:c r="G16" s="44" t="str">
        <x:v>Datos recortados, estado pendiente y posterior resuelta</x:v>
      </x:c>
      <x:c r="H16" s="44" t="str">
        <x:v>Todas las aserciones del caso se aprobaron</x:v>
      </x:c>
      <x:c r="I16" s="44" t="str">
        <x:v>Pasó</x:v>
      </x:c>
      <x:c r="J16" s="44" t="str">
        <x:v>Vicente, Victoria y Diego</x:v>
      </x:c>
      <x:c r="K16" s="46" t="d">
        <x:v>2026-10-14T00:00:00.000Z</x:v>
      </x:c>
      <x:c r="L16" s="44" t="str">
        <x:v>Duración: 5 ms. Chrome Headless 155.0.0.0 (Windows 10)</x:v>
      </x:c>
    </x:row>
    <x:row r="17" ht="78.75" hidden="0" customHeight="1">
      <x:c r="A17" s="44" t="str">
        <x:v>PU-016</x:v>
      </x:c>
      <x:c r="B17" s="44" t="str">
        <x:v>Consultas</x:v>
      </x:c>
      <x:c r="C17" s="44" t="str">
        <x:v>registrarConsulta</x:v>
      </x:c>
      <x:c r="D17" s="44" t="str">
        <x:v>Error</x:v>
      </x:c>
      <x:c r="E17" s="44" t="str">
        <x:v>No guarda consultas vacías</x:v>
      </x:c>
      <x:c r="F17" s="44" t="str">
        <x:v>Mensaje compuesto por espacios</x:v>
      </x:c>
      <x:c r="G17" s="44" t="str">
        <x:v>Advertencia y almacenamiento sin consultas</x:v>
      </x:c>
      <x:c r="H17" s="44" t="str">
        <x:v>Todas las aserciones del caso se aprobaron</x:v>
      </x:c>
      <x:c r="I17" s="44" t="str">
        <x:v>Pasó</x:v>
      </x:c>
      <x:c r="J17" s="44" t="str">
        <x:v>Vicente, Victoria y Diego</x:v>
      </x:c>
      <x:c r="K17" s="46" t="d">
        <x:v>2026-10-14T00:00:00.000Z</x:v>
      </x:c>
      <x:c r="L17" s="44" t="str">
        <x:v>Duración: 1 ms. Chrome Headless 155.0.0.0 (Windows 10)</x:v>
      </x:c>
    </x:row>
    <x:row r="18" ht="78.75" hidden="0" customHeight="1">
      <x:c r="A18" s="44" t="str">
        <x:v>PU-017</x:v>
      </x:c>
      <x:c r="B18" s="44" t="str">
        <x:v>Pedidos</x:v>
      </x:c>
      <x:c r="C18" s="44" t="str">
        <x:v>crearPedido</x:v>
      </x:c>
      <x:c r="D18" s="44" t="str">
        <x:v>Normal</x:v>
      </x:c>
      <x:c r="E18" s="44" t="str">
        <x:v>Registra total, entrega y precios pagados</x:v>
      </x:c>
      <x:c r="F18" s="44" t="str">
        <x:v>Dos unidades de 10000 con 20% de descuento y despacho de 3000</x:v>
      </x:c>
      <x:c r="G18" s="44" t="str">
        <x:v>Subtotal 16000; total 19000; snapshot de precio final 8000</x:v>
      </x:c>
      <x:c r="H18" s="44" t="str">
        <x:v>Todas las aserciones del caso se aprobaron</x:v>
      </x:c>
      <x:c r="I18" s="44" t="str">
        <x:v>Pasó</x:v>
      </x:c>
      <x:c r="J18" s="44" t="str">
        <x:v>Vicente, Victoria y Diego</x:v>
      </x:c>
      <x:c r="K18" s="46" t="d">
        <x:v>2026-10-14T00:00:00.000Z</x:v>
      </x:c>
      <x:c r="L18" s="44" t="str">
        <x:v>Duración: 2 ms. Chrome Headless 155.0.0.0 (Windows 10)</x:v>
      </x:c>
    </x:row>
    <x:row r="19" ht="78.75" hidden="0" customHeight="1">
      <x:c r="A19" s="44" t="str">
        <x:v>PU-018</x:v>
      </x:c>
      <x:c r="B19" s="44" t="str">
        <x:v>Pedidos</x:v>
      </x:c>
      <x:c r="C19" s="44" t="str">
        <x:v>crearPedido</x:v>
      </x:c>
      <x:c r="D19" s="44" t="str">
        <x:v>Error</x:v>
      </x:c>
      <x:c r="E19" s="44" t="str">
        <x:v>Pago rechazado no crea pedido</x:v>
      </x:c>
      <x:c r="F19" s="44" t="str">
        <x:v>Carrito válido y pago rechazado</x:v>
      </x:c>
      <x:c r="G19" s="44" t="str">
        <x:v>Resultado aprobado false; pedidos sin cambios</x:v>
      </x:c>
      <x:c r="H19" s="44" t="str">
        <x:v>Todas las aserciones del caso se aprobaron</x:v>
      </x:c>
      <x:c r="I19" s="44" t="str">
        <x:v>Pasó</x:v>
      </x:c>
      <x:c r="J19" s="44" t="str">
        <x:v>Vicente, Victoria y Diego</x:v>
      </x:c>
      <x:c r="K19" s="46" t="d">
        <x:v>2026-10-14T00:00:00.000Z</x:v>
      </x:c>
      <x:c r="L19" s="44" t="str">
        <x:v>Duración: 1 ms. Chrome Headless 155.0.0.0 (Windows 10)</x:v>
      </x:c>
    </x:row>
    <x:row r="20" ht="78.75" hidden="0" customHeight="1">
      <x:c r="A20" s="44" t="str">
        <x:v>PU-019</x:v>
      </x:c>
      <x:c r="B20" s="44" t="str">
        <x:v>Pedidos</x:v>
      </x:c>
      <x:c r="C20" s="44" t="str">
        <x:v>crearPedido</x:v>
      </x:c>
      <x:c r="D20" s="44" t="str">
        <x:v>Error</x:v>
      </x:c>
      <x:c r="E20" s="44" t="str">
        <x:v>Rechaza compras vacías o con datos inválidos</x:v>
      </x:c>
      <x:c r="F20" s="44" t="str">
        <x:v>Carrito vacío, email inválido y producto eliminado</x:v>
      </x:c>
      <x:c r="G20" s="44" t="str">
        <x:v>Lanza errores; no persiste pedidos</x:v>
      </x:c>
      <x:c r="H20" s="44" t="str">
        <x:v>Todas las aserciones del caso se aprobaron</x:v>
      </x:c>
      <x:c r="I20" s="44" t="str">
        <x:v>Pasó</x:v>
      </x:c>
      <x:c r="J20" s="44" t="str">
        <x:v>Vicente, Victoria y Diego</x:v>
      </x:c>
      <x:c r="K20" s="46" t="d">
        <x:v>2026-10-14T00:00:00.000Z</x:v>
      </x:c>
      <x:c r="L20" s="44" t="str">
        <x:v>Duración: 2 ms. Chrome Headless 155.0.0.0 (Windows 10)</x:v>
      </x:c>
    </x:row>
    <x:row r="21" ht="78.75" hidden="0" customHeight="1">
      <x:c r="A21" s="44" t="str">
        <x:v>PU-020</x:v>
      </x:c>
      <x:c r="B21" s="44" t="str">
        <x:v>Pedidos</x:v>
      </x:c>
      <x:c r="C21" s="44" t="str">
        <x:v>pedidosDelUsuario</x:v>
      </x:c>
      <x:c r="D21" s="44" t="str">
        <x:v>Normal</x:v>
      </x:c>
      <x:c r="E21" s="44" t="str">
        <x:v>Historial muestra pedidos del usuario correspondiente</x:v>
      </x:c>
      <x:c r="F21" s="44" t="str">
        <x:v>Pedidos de Ana y de otra persona</x:v>
      </x:c>
      <x:c r="G21" s="44" t="str">
        <x:v>Cada historial contiene solamente su pedido</x:v>
      </x:c>
      <x:c r="H21" s="44" t="str">
        <x:v>Todas las aserciones del caso se aprobaron</x:v>
      </x:c>
      <x:c r="I21" s="44" t="str">
        <x:v>Pasó</x:v>
      </x:c>
      <x:c r="J21" s="44" t="str">
        <x:v>Vicente, Victoria y Diego</x:v>
      </x:c>
      <x:c r="K21" s="46" t="d">
        <x:v>2026-10-14T00:00:00.000Z</x:v>
      </x:c>
      <x:c r="L21" s="44" t="str">
        <x:v>Duración: 2 ms. Chrome Headless 155.0.0.0 (Windows 10)</x:v>
      </x:c>
    </x:row>
    <x:row r="22" ht="78.75" hidden="0" customHeight="1">
      <x:c r="A22" s="44" t="str">
        <x:v>PU-021</x:v>
      </x:c>
      <x:c r="B22" s="44" t="str">
        <x:v>TarjetasProductos</x:v>
      </x:c>
      <x:c r="C22" s="44" t="str">
        <x:v>Renderizado</x:v>
      </x:c>
      <x:c r="D22" s="44" t="str">
        <x:v>Normal</x:v>
      </x:c>
      <x:c r="E22" s="44" t="str">
        <x:v>Tarjetas renderiza los datos recibidos por props</x:v>
      </x:c>
      <x:c r="F22" s="44" t="str">
        <x:v>Producto Pastel de prueba, precio 10000 y descuento 20%</x:v>
      </x:c>
      <x:c r="G22" s="44" t="str">
        <x:v>Nombre y precio final 8000 en una tarjeta</x:v>
      </x:c>
      <x:c r="H22" s="44" t="str">
        <x:v>Todas las aserciones del caso se aprobaron</x:v>
      </x:c>
      <x:c r="I22" s="44" t="str">
        <x:v>Pasó</x:v>
      </x:c>
      <x:c r="J22" s="44" t="str">
        <x:v>Vicente, Victoria y Diego</x:v>
      </x:c>
      <x:c r="K22" s="46" t="d">
        <x:v>2026-10-14T00:00:00.000Z</x:v>
      </x:c>
      <x:c r="L22" s="44" t="str">
        <x:v>Duración: 76 ms. Chrome Headless 155.0.0.0 (Windows 10)</x:v>
      </x:c>
    </x:row>
    <x:row r="23" ht="78.75" hidden="0" customHeight="1">
      <x:c r="A23" s="44" t="str">
        <x:v>PU-022</x:v>
      </x:c>
      <x:c r="B23" s="44" t="str">
        <x:v>TarjetasProductos</x:v>
      </x:c>
      <x:c r="C23" s="44" t="str">
        <x:v>Evento agregar / callback</x:v>
      </x:c>
      <x:c r="D23" s="44" t="str">
        <x:v>Normal</x:v>
      </x:c>
      <x:c r="E23" s="44" t="str">
        <x:v>Evento agregar ejecuta callback y actualiza el carrito</x:v>
      </x:c>
      <x:c r="F23" s="44" t="str">
        <x:v>Clic en Agregar al carrito; callback spy</x:v>
      </x:c>
      <x:c r="G23" s="44" t="str">
        <x:v>Notifica una vez y persiste el producto correcto</x:v>
      </x:c>
      <x:c r="H23" s="44" t="str">
        <x:v>Todas las aserciones del caso se aprobaron</x:v>
      </x:c>
      <x:c r="I23" s="44" t="str">
        <x:v>Pasó</x:v>
      </x:c>
      <x:c r="J23" s="44" t="str">
        <x:v>Vicente, Victoria y Diego</x:v>
      </x:c>
      <x:c r="K23" s="46" t="d">
        <x:v>2026-10-14T00:00:00.000Z</x:v>
      </x:c>
      <x:c r="L23" s="44" t="str">
        <x:v>Duración: 9 ms. Chrome Headless 155.0.0.0 (Windows 10)</x:v>
      </x:c>
    </x:row>
    <x:row r="24" ht="78.75" hidden="0" customHeight="1">
      <x:c r="A24" s="44" t="str">
        <x:v>PU-023</x:v>
      </x:c>
      <x:c r="B24" s="44" t="str">
        <x:v>Notificacion</x:v>
      </x:c>
      <x:c r="C24" s="44" t="str">
        <x:v>Renderizado de props</x:v>
      </x:c>
      <x:c r="D24" s="44" t="str">
        <x:v>Normal</x:v>
      </x:c>
      <x:c r="E24" s="44" t="str">
        <x:v>Notificación usa contenido y atributos recibidos</x:v>
      </x:c>
      <x:c r="F24" s="44" t="str">
        <x:v>Children Consulta enviada, ID aviso y role status</x:v>
      </x:c>
      <x:c r="G24" s="44" t="str">
        <x:v>Contenido y atributos presentes en el DOM</x:v>
      </x:c>
      <x:c r="H24" s="44" t="str">
        <x:v>Todas las aserciones del caso se aprobaron</x:v>
      </x:c>
      <x:c r="I24" s="44" t="str">
        <x:v>Pasó</x:v>
      </x:c>
      <x:c r="J24" s="44" t="str">
        <x:v>Vicente, Victoria y Diego</x:v>
      </x:c>
      <x:c r="K24" s="46" t="d">
        <x:v>2026-10-14T00:00:00.000Z</x:v>
      </x:c>
      <x:c r="L24" s="44" t="str">
        <x:v>Duración: 2 ms. Chrome Headless 155.0.0.0 (Windows 10)</x:v>
      </x:c>
    </x:row>
    <x:row r="25" ht="78.75" hidden="0" customHeight="1">
      <x:c r="A25" s="44" t="str">
        <x:v>PU-024</x:v>
      </x:c>
      <x:c r="B25" s="44" t="str">
        <x:v>CatalogoProductos</x:v>
      </x:c>
      <x:c r="C25" s="44" t="str">
        <x:v>Filtro de categoría</x:v>
      </x:c>
      <x:c r="D25" s="44" t="str">
        <x:v>Normal</x:v>
      </x:c>
      <x:c r="E25" s="44" t="str">
        <x:v>Catálogo renderiza solamente su categoría</x:v>
      </x:c>
      <x:c r="F25" s="44" t="str">
        <x:v>Categoría pasteleria y catálogo inicial de doce productos</x:v>
      </x:c>
      <x:c r="G25" s="44" t="str">
        <x:v>Tres tarjetas de pastelería</x:v>
      </x:c>
      <x:c r="H25" s="44" t="str">
        <x:v>Todas las aserciones del caso se aprobaron</x:v>
      </x:c>
      <x:c r="I25" s="44" t="str">
        <x:v>Pasó</x:v>
      </x:c>
      <x:c r="J25" s="44" t="str">
        <x:v>Vicente, Victoria y Diego</x:v>
      </x:c>
      <x:c r="K25" s="46" t="d">
        <x:v>2026-10-14T00:00:00.000Z</x:v>
      </x:c>
      <x:c r="L25" s="44" t="str">
        <x:v>Duración: 66 ms. Chrome Headless 155.0.0.0 (Windows 10)</x:v>
      </x:c>
    </x:row>
    <x:row r="26" ht="78.75" hidden="0" customHeight="1">
      <x:c r="A26" s="44" t="str">
        <x:v>PU-025</x:v>
      </x:c>
      <x:c r="B26" s="44" t="str">
        <x:v>CatalogoProductos</x:v>
      </x:c>
      <x:c r="C26" s="44" t="str">
        <x:v>Evento búsqueda</x:v>
      </x:c>
      <x:c r="D26" s="44" t="str">
        <x:v>Normal</x:v>
      </x:c>
      <x:c r="E26" s="44" t="str">
        <x:v>Búsqueda reacciona al estado del input</x:v>
      </x:c>
      <x:c r="F26" s="44" t="str">
        <x:v>Escribir FRUTILLA</x:v>
      </x:c>
      <x:c r="G26" s="44" t="str">
        <x:v>Una tarjeta de Pastel de Frutilla</x:v>
      </x:c>
      <x:c r="H26" s="44" t="str">
        <x:v>Todas las aserciones del caso se aprobaron</x:v>
      </x:c>
      <x:c r="I26" s="44" t="str">
        <x:v>Pasó</x:v>
      </x:c>
      <x:c r="J26" s="44" t="str">
        <x:v>Vicente, Victoria y Diego</x:v>
      </x:c>
      <x:c r="K26" s="46" t="d">
        <x:v>2026-10-14T00:00:00.000Z</x:v>
      </x:c>
      <x:c r="L26" s="44" t="str">
        <x:v>Duración: 20 ms. Chrome Headless 155.0.0.0 (Windows 10)</x:v>
      </x:c>
    </x:row>
    <x:row r="27" ht="78.75" hidden="0" customHeight="1">
      <x:c r="A27" s="44" t="str">
        <x:v>PU-026</x:v>
      </x:c>
      <x:c r="B27" s="44" t="str">
        <x:v>CatalogoProductos</x:v>
      </x:c>
      <x:c r="C27" s="44" t="str">
        <x:v>Estado sin resultados</x:v>
      </x:c>
      <x:c r="D27" s="44" t="str">
        <x:v>Borde</x:v>
      </x:c>
      <x:c r="E27" s="44" t="str">
        <x:v>Catálogo muestra el estado sin resultados</x:v>
      </x:c>
      <x:c r="F27" s="44" t="str">
        <x:v>Buscar un producto inexistente</x:v>
      </x:c>
      <x:c r="G27" s="44" t="str">
        <x:v>Mensaje visible y cero tarjetas</x:v>
      </x:c>
      <x:c r="H27" s="44" t="str">
        <x:v>Todas las aserciones del caso se aprobaron</x:v>
      </x:c>
      <x:c r="I27" s="44" t="str">
        <x:v>Pasó</x:v>
      </x:c>
      <x:c r="J27" s="44" t="str">
        <x:v>Vicente, Victoria y Diego</x:v>
      </x:c>
      <x:c r="K27" s="46" t="d">
        <x:v>2026-10-14T00:00:00.000Z</x:v>
      </x:c>
      <x:c r="L27" s="44" t="str">
        <x:v>Duración: 15 ms. Chrome Headless 155.0.0.0 (Windows 10)</x:v>
      </x:c>
    </x:row>
    <x:row r="28" ht="78.75" hidden="0" customHeight="1">
      <x:c r="A28" s="44" t="str">
        <x:v>PU-027</x:v>
      </x:c>
      <x:c r="B28" s="44" t="str">
        <x:v>CatalogoProductos</x:v>
      </x:c>
      <x:c r="C28" s="44" t="str">
        <x:v>Evento orden</x:v>
      </x:c>
      <x:c r="D28" s="44" t="str">
        <x:v>Normal</x:v>
      </x:c>
      <x:c r="E28" s="44" t="str">
        <x:v>Orden del catálogo responde al select</x:v>
      </x:c>
      <x:c r="F28" s="44" t="str">
        <x:v>Seleccionar menor precio</x:v>
      </x:c>
      <x:c r="G28" s="44" t="str">
        <x:v>Pastel de Vainilla en primer lugar</x:v>
      </x:c>
      <x:c r="H28" s="44" t="str">
        <x:v>Todas las aserciones del caso se aprobaron</x:v>
      </x:c>
      <x:c r="I28" s="44" t="str">
        <x:v>Pasó</x:v>
      </x:c>
      <x:c r="J28" s="44" t="str">
        <x:v>Vicente, Victoria y Diego</x:v>
      </x:c>
      <x:c r="K28" s="46" t="d">
        <x:v>2026-10-14T00:00:00.000Z</x:v>
      </x:c>
      <x:c r="L28" s="44" t="str">
        <x:v>Duración: 12 ms. Chrome Headless 155.0.0.0 (Windows 10)</x:v>
      </x:c>
    </x:row>
    <x:row r="29" ht="78.75" hidden="0" customHeight="1">
      <x:c r="A29" s="44" t="str">
        <x:v>PU-028</x:v>
      </x:c>
      <x:c r="B29" s="44" t="str">
        <x:v>Carrito</x:v>
      </x:c>
      <x:c r="C29" s="44" t="str">
        <x:v>Renderizado vacío</x:v>
      </x:c>
      <x:c r="D29" s="44" t="str">
        <x:v>Borde</x:v>
      </x:c>
      <x:c r="E29" s="44" t="str">
        <x:v>Carrito vacío oculta acciones de compra</x:v>
      </x:c>
      <x:c r="F29" s="44" t="str">
        <x:v>Sin productos guardados</x:v>
      </x:c>
      <x:c r="G29" s="44" t="str">
        <x:v>Mensaje de carrito vacío y sin botón Vaciar carrito</x:v>
      </x:c>
      <x:c r="H29" s="44" t="str">
        <x:v>Todas las aserciones del caso se aprobaron</x:v>
      </x:c>
      <x:c r="I29" s="44" t="str">
        <x:v>Pasó</x:v>
      </x:c>
      <x:c r="J29" s="44" t="str">
        <x:v>Vicente, Victoria y Diego</x:v>
      </x:c>
      <x:c r="K29" s="46" t="d">
        <x:v>2026-10-14T00:00:00.000Z</x:v>
      </x:c>
      <x:c r="L29" s="44" t="str">
        <x:v>Duración: 7 ms. Chrome Headless 155.0.0.0 (Windows 10)</x:v>
      </x:c>
    </x:row>
    <x:row r="30" ht="78.75" hidden="0" customHeight="1">
      <x:c r="A30" s="44" t="str">
        <x:v>PU-029</x:v>
      </x:c>
      <x:c r="B30" s="44" t="str">
        <x:v>Carrito</x:v>
      </x:c>
      <x:c r="C30" s="44" t="str">
        <x:v>Evento disminuir</x:v>
      </x:c>
      <x:c r="D30" s="44" t="str">
        <x:v>Borde</x:v>
      </x:c>
      <x:c r="E30" s="44" t="str">
        <x:v>Carrito actualiza cantidades y elimina la última unidad</x:v>
      </x:c>
      <x:c r="F30" s="44" t="str">
        <x:v>Dos unidades con precio final 8000; dos clics en disminuir</x:v>
      </x:c>
      <x:c r="G30" s="44" t="str">
        <x:v>Totales 16000, 8000 y cero; carrito vacío</x:v>
      </x:c>
      <x:c r="H30" s="44" t="str">
        <x:v>Todas las aserciones del caso se aprobaron</x:v>
      </x:c>
      <x:c r="I30" s="44" t="str">
        <x:v>Pasó</x:v>
      </x:c>
      <x:c r="J30" s="44" t="str">
        <x:v>Vicente, Victoria y Diego</x:v>
      </x:c>
      <x:c r="K30" s="46" t="d">
        <x:v>2026-10-14T00:00:00.000Z</x:v>
      </x:c>
      <x:c r="L30" s="44" t="str">
        <x:v>Duración: 15 ms. Chrome Headless 155.0.0.0 (Windows 10)</x:v>
      </x:c>
    </x:row>
    <x:row r="31" ht="78.75" hidden="0" customHeight="1">
      <x:c r="A31" s="44" t="str">
        <x:v>PU-030</x:v>
      </x:c>
      <x:c r="B31" s="44" t="str">
        <x:v>DetalleProducto</x:v>
      </x:c>
      <x:c r="C31" s="44" t="str">
        <x:v>Producto inexistente</x:v>
      </x:c>
      <x:c r="D31" s="44" t="str">
        <x:v>Error</x:v>
      </x:c>
      <x:c r="E31" s="44" t="str">
        <x:v>Detalle resuelve identificadores inexistentes</x:v>
      </x:c>
      <x:c r="F31" s="44" t="str">
        <x:v>URL /producto/no-existe</x:v>
      </x:c>
      <x:c r="G31" s="44" t="str">
        <x:v>Mensaje de producto no disponible</x:v>
      </x:c>
      <x:c r="H31" s="44" t="str">
        <x:v>Todas las aserciones del caso se aprobaron</x:v>
      </x:c>
      <x:c r="I31" s="44" t="str">
        <x:v>Pasó</x:v>
      </x:c>
      <x:c r="J31" s="44" t="str">
        <x:v>Vicente, Victoria y Diego</x:v>
      </x:c>
      <x:c r="K31" s="46" t="d">
        <x:v>2026-10-14T00:00:00.000Z</x:v>
      </x:c>
      <x:c r="L31" s="44" t="str">
        <x:v>Duración: 13 ms. Chrome Headless 155.0.0.0 (Windows 10)</x:v>
      </x:c>
    </x:row>
    <x:row r="32" ht="78.75" hidden="0" customHeight="1">
      <x:c r="A32" s="44" t="str">
        <x:v>PU-031</x:v>
      </x:c>
      <x:c r="B32" s="44" t="str">
        <x:v>DetalleProducto</x:v>
      </x:c>
      <x:c r="C32" s="44" t="str">
        <x:v>Parámetro y evento agregar</x:v>
      </x:c>
      <x:c r="D32" s="44" t="str">
        <x:v>Normal</x:v>
      </x:c>
      <x:c r="E32" s="44" t="str">
        <x:v>Detalle usa el parámetro y añade la cantidad elegida</x:v>
      </x:c>
      <x:c r="F32" s="44" t="str">
        <x:v>Producto existente, cantidad 3 y clic agregar</x:v>
      </x:c>
      <x:c r="G32" s="44" t="str">
        <x:v>Carrito de tres unidades y notificación visible</x:v>
      </x:c>
      <x:c r="H32" s="44" t="str">
        <x:v>Todas las aserciones del caso se aprobaron</x:v>
      </x:c>
      <x:c r="I32" s="44" t="str">
        <x:v>Pasó</x:v>
      </x:c>
      <x:c r="J32" s="44" t="str">
        <x:v>Vicente, Victoria y Diego</x:v>
      </x:c>
      <x:c r="K32" s="46" t="d">
        <x:v>2026-10-14T00:00:00.000Z</x:v>
      </x:c>
      <x:c r="L32" s="44" t="str">
        <x:v>Duración: 52 ms. Chrome Headless 155.0.0.0 (Windows 10)</x:v>
      </x:c>
    </x:row>
    <x:row r="33" ht="78.75" hidden="0" customHeight="1">
      <x:c r="A33" s="44" t="str">
        <x:v>PU-032</x:v>
      </x:c>
      <x:c r="B33" s="44" t="str">
        <x:v>DetalleProducto</x:v>
      </x:c>
      <x:c r="C33" s="44" t="str">
        <x:v>Validación de cantidad</x:v>
      </x:c>
      <x:c r="D33" s="44" t="str">
        <x:v>Error</x:v>
      </x:c>
      <x:c r="E33" s="44" t="str">
        <x:v>Detalle rechaza cantidades fraccionarias</x:v>
      </x:c>
      <x:c r="F33" s="44" t="str">
        <x:v>Cantidad 1.5</x:v>
      </x:c>
      <x:c r="G33" s="44" t="str">
        <x:v>Reinicia a una unidad, enfoca el input y no agrega</x:v>
      </x:c>
      <x:c r="H33" s="44" t="str">
        <x:v>Todas las aserciones del caso se aprobaron</x:v>
      </x:c>
      <x:c r="I33" s="44" t="str">
        <x:v>Pasó</x:v>
      </x:c>
      <x:c r="J33" s="44" t="str">
        <x:v>Vicente, Victoria y Diego</x:v>
      </x:c>
      <x:c r="K33" s="46" t="d">
        <x:v>2026-10-14T00:00:00.000Z</x:v>
      </x:c>
      <x:c r="L33" s="44" t="str">
        <x:v>Duración: 18 ms. Chrome Headless 155.0.0.0 (Windows 10)</x:v>
      </x:c>
    </x:row>
    <x:row r="34" ht="78.75" hidden="0" customHeight="1">
      <x:c r="A34" s="44" t="str">
        <x:v>PU-033</x:v>
      </x:c>
      <x:c r="B34" s="44" t="str">
        <x:v>RegistroUsuario</x:v>
      </x:c>
      <x:c r="C34" s="44" t="str">
        <x:v>Mensajes de validación</x:v>
      </x:c>
      <x:c r="D34" s="44" t="str">
        <x:v>Error</x:v>
      </x:c>
      <x:c r="E34" s="44" t="str">
        <x:v>Registro muestra errores condicionalmente</x:v>
      </x:c>
      <x:c r="F34" s="44" t="str">
        <x:v>Formulario inicialmente vacío y luego submit</x:v>
      </x:c>
      <x:c r="G34" s="44" t="str">
        <x:v>Mensaje oculto al inicio; errores visibles después; sin usuario creado</x:v>
      </x:c>
      <x:c r="H34" s="44" t="str">
        <x:v>Todas las aserciones del caso se aprobaron</x:v>
      </x:c>
      <x:c r="I34" s="44" t="str">
        <x:v>Pasó</x:v>
      </x:c>
      <x:c r="J34" s="44" t="str">
        <x:v>Vicente, Victoria y Diego</x:v>
      </x:c>
      <x:c r="K34" s="46" t="d">
        <x:v>2026-10-14T00:00:00.000Z</x:v>
      </x:c>
      <x:c r="L34" s="44" t="str">
        <x:v>Duración: 34 ms. Chrome Headless 155.0.0.0 (Windows 10)</x:v>
      </x:c>
    </x:row>
    <x:row r="35" ht="78.75" hidden="0" customHeight="1">
      <x:c r="A35" s="44" t="str">
        <x:v>PU-034</x:v>
      </x:c>
      <x:c r="B35" s="44" t="str">
        <x:v>RegistroUsuario</x:v>
      </x:c>
      <x:c r="C35" s="44" t="str">
        <x:v>Evento submit</x:v>
      </x:c>
      <x:c r="D35" s="44" t="str">
        <x:v>Normal</x:v>
      </x:c>
      <x:c r="E35" s="44" t="str">
        <x:v>Registro guarda datos y limpia el formulario</x:v>
      </x:c>
      <x:c r="F35" s="44" t="str">
        <x:v>Campos válidos introducidos con eventos de input</x:v>
      </x:c>
      <x:c r="G35" s="44" t="str">
        <x:v>Cuenta cliente persistida y mensaje de éxito</x:v>
      </x:c>
      <x:c r="H35" s="44" t="str">
        <x:v>Todas las aserciones del caso se aprobaron</x:v>
      </x:c>
      <x:c r="I35" s="44" t="str">
        <x:v>Pasó</x:v>
      </x:c>
      <x:c r="J35" s="44" t="str">
        <x:v>Vicente, Victoria y Diego</x:v>
      </x:c>
      <x:c r="K35" s="46" t="d">
        <x:v>2026-10-14T00:00:00.000Z</x:v>
      </x:c>
      <x:c r="L35" s="44" t="str">
        <x:v>Duración: 26 ms. Chrome Headless 155.0.0.0 (Windows 10)</x:v>
      </x:c>
    </x:row>
    <x:row r="36" ht="78.75" hidden="0" customHeight="1">
      <x:c r="A36" s="44" t="str">
        <x:v>PU-035</x:v>
      </x:c>
      <x:c r="B36" s="44" t="str">
        <x:v>InicioSesion</x:v>
      </x:c>
      <x:c r="C36" s="44" t="str">
        <x:v>Credenciales inválidas</x:v>
      </x:c>
      <x:c r="D36" s="44" t="str">
        <x:v>Error</x:v>
      </x:c>
      <x:c r="E36" s="44" t="str">
        <x:v>Login inválido limpia y enfoca la contraseña</x:v>
      </x:c>
      <x:c r="F36" s="44" t="str">
        <x:v>Correo válido y contraseña incorrecta</x:v>
      </x:c>
      <x:c r="G36" s="44" t="str">
        <x:v>Mensaje de error, contraseña vacía y foco en su input</x:v>
      </x:c>
      <x:c r="H36" s="44" t="str">
        <x:v>Todas las aserciones del caso se aprobaron</x:v>
      </x:c>
      <x:c r="I36" s="44" t="str">
        <x:v>Pasó</x:v>
      </x:c>
      <x:c r="J36" s="44" t="str">
        <x:v>Vicente, Victoria y Diego</x:v>
      </x:c>
      <x:c r="K36" s="46" t="d">
        <x:v>2026-10-14T00:00:00.000Z</x:v>
      </x:c>
      <x:c r="L36" s="44" t="str">
        <x:v>Duración: 20 ms. Chrome Headless 155.0.0.0 (Windows 10)</x:v>
      </x:c>
    </x:row>
    <x:row r="37" ht="78.75" hidden="0" customHeight="1">
      <x:c r="A37" s="44" t="str">
        <x:v>PU-036</x:v>
      </x:c>
      <x:c r="B37" s="44" t="str">
        <x:v>InicioSesion</x:v>
      </x:c>
      <x:c r="C37" s="44" t="str">
        <x:v>Evento submit / menú</x:v>
      </x:c>
      <x:c r="D37" s="44" t="str">
        <x:v>Normal</x:v>
      </x:c>
      <x:c r="E37" s="44" t="str">
        <x:v>Login actualiza el menú de sesión inmediatamente</x:v>
      </x:c>
      <x:c r="F37" s="44" t="str">
        <x:v>Credenciales válidas</x:v>
      </x:c>
      <x:c r="G37" s="44" t="str">
        <x:v>Hola, Ana aparece y la sesión se guarda sin contraseña</x:v>
      </x:c>
      <x:c r="H37" s="44" t="str">
        <x:v>Todas las aserciones del caso se aprobaron</x:v>
      </x:c>
      <x:c r="I37" s="44" t="str">
        <x:v>Pasó</x:v>
      </x:c>
      <x:c r="J37" s="44" t="str">
        <x:v>Vicente, Victoria y Diego</x:v>
      </x:c>
      <x:c r="K37" s="46" t="d">
        <x:v>2026-10-14T00:00:00.000Z</x:v>
      </x:c>
      <x:c r="L37" s="44" t="str">
        <x:v>Duración: 13 ms. Chrome Headless 155.0.0.0 (Windows 10)</x:v>
      </x:c>
    </x:row>
    <x:row r="38" ht="78.75" hidden="0" customHeight="1">
      <x:c r="A38" s="44" t="str">
        <x:v>PU-037</x:v>
      </x:c>
      <x:c r="B38" s="44" t="str">
        <x:v>Contacto</x:v>
      </x:c>
      <x:c r="C38" s="44" t="str">
        <x:v>Evento submit</x:v>
      </x:c>
      <x:c r="D38" s="44" t="str">
        <x:v>Normal</x:v>
      </x:c>
      <x:c r="E38" s="44" t="str">
        <x:v>Contacto valida, guarda y limpia sus campos</x:v>
      </x:c>
      <x:c r="F38" s="44" t="str">
        <x:v>Mensaje con espacios y luego consulta válida</x:v>
      </x:c>
      <x:c r="G38" s="44" t="str">
        <x:v>Advertencia inicial; consulta persistida y formulario vacío al éxito</x:v>
      </x:c>
      <x:c r="H38" s="44" t="str">
        <x:v>Todas las aserciones del caso se aprobaron</x:v>
      </x:c>
      <x:c r="I38" s="44" t="str">
        <x:v>Pasó</x:v>
      </x:c>
      <x:c r="J38" s="44" t="str">
        <x:v>Vicente, Victoria y Diego</x:v>
      </x:c>
      <x:c r="K38" s="46" t="d">
        <x:v>2026-10-14T00:00:00.000Z</x:v>
      </x:c>
      <x:c r="L38" s="44" t="str">
        <x:v>Duración: 17 ms. Chrome Headless 155.0.0.0 (Windows 10)</x:v>
      </x:c>
    </x:row>
    <x:row r="39" ht="78.75" hidden="0" customHeight="1">
      <x:c r="A39" s="44" t="str">
        <x:v>PU-038</x:v>
      </x:c>
      <x:c r="B39" s="44" t="str">
        <x:v>TablaProductos</x:v>
      </x:c>
      <x:c r="C39" s="44" t="str">
        <x:v>Callbacks de props</x:v>
      </x:c>
      <x:c r="D39" s="44" t="str">
        <x:v>Normal</x:v>
      </x:c>
      <x:c r="E39" s="44" t="str">
        <x:v>Tabla de productos ejecuta callbacks recibidos por props</x:v>
      </x:c>
      <x:c r="F39" s="44" t="str">
        <x:v>Clic editar y eliminación confirmada; callbacks spy</x:v>
      </x:c>
      <x:c r="G39" s="44" t="str">
        <x:v>Editar recibe objeto; eliminar recibe ID solamente al confirmar</x:v>
      </x:c>
      <x:c r="H39" s="44" t="str">
        <x:v>Todas las aserciones del caso se aprobaron</x:v>
      </x:c>
      <x:c r="I39" s="44" t="str">
        <x:v>Pasó</x:v>
      </x:c>
      <x:c r="J39" s="44" t="str">
        <x:v>Vicente, Victoria y Diego</x:v>
      </x:c>
      <x:c r="K39" s="46" t="d">
        <x:v>2026-10-14T00:00:00.000Z</x:v>
      </x:c>
      <x:c r="L39" s="44" t="str">
        <x:v>Duración: 10 ms. Chrome Headless 155.0.0.0 (Windows 10)</x:v>
      </x:c>
    </x:row>
    <x:row r="40" ht="78.75" hidden="0" customHeight="1">
      <x:c r="A40" s="44" t="str">
        <x:v>PU-039</x:v>
      </x:c>
      <x:c r="B40" s="44" t="str">
        <x:v>FormularioProducto</x:v>
      </x:c>
      <x:c r="C40" s="44" t="str">
        <x:v>Props y evento submit</x:v>
      </x:c>
      <x:c r="D40" s="44" t="str">
        <x:v>Normal</x:v>
      </x:c>
      <x:c r="E40" s="44" t="str">
        <x:v>Formulario de edición precarga props y entrega cambios</x:v>
      </x:c>
      <x:c r="F40" s="44" t="str">
        <x:v>Producto inicial y precio modificado a 15000</x:v>
      </x:c>
      <x:c r="G40" s="44" t="str">
        <x:v>Callback recibe datos del formulario con nuevo precio</x:v>
      </x:c>
      <x:c r="H40" s="44" t="str">
        <x:v>Todas las aserciones del caso se aprobaron</x:v>
      </x:c>
      <x:c r="I40" s="44" t="str">
        <x:v>Pasó</x:v>
      </x:c>
      <x:c r="J40" s="44" t="str">
        <x:v>Vicente, Victoria y Diego</x:v>
      </x:c>
      <x:c r="K40" s="46" t="d">
        <x:v>2026-10-14T00:00:00.000Z</x:v>
      </x:c>
      <x:c r="L40" s="44" t="str">
        <x:v>Duración: 11 ms. Chrome Headless 155.0.0.0 (Windows 10)</x:v>
      </x:c>
    </x:row>
    <x:row r="41" ht="78.75" hidden="0" customHeight="1">
      <x:c r="A41" s="44" t="str">
        <x:v>PU-040</x:v>
      </x:c>
      <x:c r="B41" s="44" t="str">
        <x:v>App</x:v>
      </x:c>
      <x:c r="C41" s="44" t="str">
        <x:v>Protección de acceso</x:v>
      </x:c>
      <x:c r="D41" s="44" t="str">
        <x:v>Error</x:v>
      </x:c>
      <x:c r="E41" s="44" t="str">
        <x:v>Las rutas protegidas bloquean visitantes y clientes</x:v>
      </x:c>
      <x:c r="F41" s="44" t="str">
        <x:v>Entrar a administración sin sesión y con rol cliente</x:v>
      </x:c>
      <x:c r="G41" s="44" t="str">
        <x:v>Visitante va a login; cliente vuelve a Inicio</x:v>
      </x:c>
      <x:c r="H41" s="44" t="str">
        <x:v>Todas las aserciones del caso se aprobaron</x:v>
      </x:c>
      <x:c r="I41" s="44" t="str">
        <x:v>Pasó</x:v>
      </x:c>
      <x:c r="J41" s="44" t="str">
        <x:v>Vicente, Victoria y Diego</x:v>
      </x:c>
      <x:c r="K41" s="46" t="d">
        <x:v>2026-10-14T00:00:00.000Z</x:v>
      </x:c>
      <x:c r="L41" s="44" t="str">
        <x:v>Duración: 12 ms. Chrome Headless 155.0.0.0 (Windows 10)</x:v>
      </x:c>
    </x:row>
    <x:row r="42" ht="78.75" hidden="0" customHeight="1">
      <x:c r="A42" s="44" t="str">
        <x:v>PU-041</x:v>
      </x:c>
      <x:c r="B42" s="44" t="str">
        <x:v>Checkout</x:v>
      </x:c>
      <x:c r="C42" s="44" t="str">
        <x:v>Estado de campos</x:v>
      </x:c>
      <x:c r="D42" s="44" t="str">
        <x:v>Normal</x:v>
      </x:c>
      <x:c r="E42" s="44" t="str">
        <x:v>Checkout precarga sesión y mantiene estado de campos</x:v>
      </x:c>
      <x:c r="F42" s="44" t="str">
        <x:v>Cliente autenticado y dirección editada</x:v>
      </x:c>
      <x:c r="G42" s="44" t="str">
        <x:v>Nombre precargado y dirección nueva reflejada en el input</x:v>
      </x:c>
      <x:c r="H42" s="44" t="str">
        <x:v>Todas las aserciones del caso se aprobaron</x:v>
      </x:c>
      <x:c r="I42" s="44" t="str">
        <x:v>Pasó</x:v>
      </x:c>
      <x:c r="J42" s="44" t="str">
        <x:v>Vicente, Victoria y Diego</x:v>
      </x:c>
      <x:c r="K42" s="46" t="d">
        <x:v>2026-10-14T00:00:00.000Z</x:v>
      </x:c>
      <x:c r="L42" s="44" t="str">
        <x:v>Duración: 27 ms. Chrome Headless 155.0.0.0 (Windows 10)</x:v>
      </x:c>
    </x:row>
    <x:row r="43" ht="78.75" hidden="0" customHeight="1">
      <x:c r="A43" s="44" t="str">
        <x:v>PU-042</x:v>
      </x:c>
      <x:c r="B43" s="44" t="str">
        <x:v>Checkout</x:v>
      </x:c>
      <x:c r="C43" s="44" t="str">
        <x:v>Confirmar compra</x:v>
      </x:c>
      <x:c r="D43" s="44" t="str">
        <x:v>Normal</x:v>
      </x:c>
      <x:c r="E43" s="44" t="str">
        <x:v>Checkout aprobado confirma y vacía el carrito</x:v>
      </x:c>
      <x:c r="F43" s="44" t="str">
        <x:v>Datos precargados y confirmación de compra</x:v>
      </x:c>
      <x:c r="G43" s="44" t="str">
        <x:v>Una orden, vista de confirmación y carrito vacío</x:v>
      </x:c>
      <x:c r="H43" s="44" t="str">
        <x:v>Todas las aserciones del caso se aprobaron</x:v>
      </x:c>
      <x:c r="I43" s="44" t="str">
        <x:v>Pasó</x:v>
      </x:c>
      <x:c r="J43" s="44" t="str">
        <x:v>Vicente, Victoria y Diego</x:v>
      </x:c>
      <x:c r="K43" s="46" t="d">
        <x:v>2026-10-14T00:00:00.000Z</x:v>
      </x:c>
      <x:c r="L43" s="44" t="str">
        <x:v>Duración: 27 ms. Chrome Headless 155.0.0.0 (Windows 10)</x:v>
      </x:c>
    </x:row>
    <x:row r="44" ht="78.75" hidden="0" customHeight="1">
      <x:c r="A44" s="44" t="str">
        <x:v>PU-043</x:v>
      </x:c>
      <x:c r="B44" s="44" t="str">
        <x:v>Checkout</x:v>
      </x:c>
      <x:c r="C44" s="44" t="str">
        <x:v>Rechazar pago</x:v>
      </x:c>
      <x:c r="D44" s="44" t="str">
        <x:v>Error</x:v>
      </x:c>
      <x:c r="E44" s="44" t="str">
        <x:v>Checkout rechazado conserva el carrito</x:v>
      </x:c>
      <x:c r="F44" s="44" t="str">
        <x:v>Elegir pago rechazado</x:v>
      </x:c>
      <x:c r="G44" s="44" t="str">
        <x:v>Vista de rechazo; carrito intacto y sin pedido</x:v>
      </x:c>
      <x:c r="H44" s="44" t="str">
        <x:v>Todas las aserciones del caso se aprobaron</x:v>
      </x:c>
      <x:c r="I44" s="44" t="str">
        <x:v>Pasó</x:v>
      </x:c>
      <x:c r="J44" s="44" t="str">
        <x:v>Vicente, Victoria y Diego</x:v>
      </x:c>
      <x:c r="K44" s="46" t="d">
        <x:v>2026-10-14T00:00:00.000Z</x:v>
      </x:c>
      <x:c r="L44" s="44" t="str">
        <x:v>Duración: 11 ms. Chrome Headless 155.0.0.0 (Windows 10)</x:v>
      </x:c>
    </x:row>
    <x:row r="45" ht="78.75" hidden="0" customHeight="1">
      <x:c r="A45" s="44" t="str">
        <x:v>PU-044</x:v>
      </x:c>
      <x:c r="B45" s="44" t="str">
        <x:v>PerfilUsuario</x:v>
      </x:c>
      <x:c r="C45" s="44" t="str">
        <x:v>Filtro de historial</x:v>
      </x:c>
      <x:c r="D45" s="44" t="str">
        <x:v>Normal</x:v>
      </x:c>
      <x:c r="E45" s="44" t="str">
        <x:v>Perfil filtra el historial por la cuenta activa</x:v>
      </x:c>
      <x:c r="F45" s="44" t="str">
        <x:v>Dos pedidos con correos diferentes y usuario Ana</x:v>
      </x:c>
      <x:c r="G45" s="44" t="str">
        <x:v>Muestra solamente el pedido de Ana</x:v>
      </x:c>
      <x:c r="H45" s="44" t="str">
        <x:v>Todas las aserciones del caso se aprobaron</x:v>
      </x:c>
      <x:c r="I45" s="44" t="str">
        <x:v>Pasó</x:v>
      </x:c>
      <x:c r="J45" s="44" t="str">
        <x:v>Vicente, Victoria y Diego</x:v>
      </x:c>
      <x:c r="K45" s="46" t="d">
        <x:v>2026-10-14T00:00:00.000Z</x:v>
      </x:c>
      <x:c r="L45" s="44" t="str">
        <x:v>Duración: 23 ms. Chrome Headless 155.0.0.0 (Windows 10)</x:v>
      </x:c>
    </x:row>
    <x:row r="46" ht="78.75" hidden="0" customHeight="1">
      <x:c r="A46" s="44" t="str">
        <x:v>PU-045</x:v>
      </x:c>
      <x:c r="B46" s="44" t="str">
        <x:v>Compra</x:v>
      </x:c>
      <x:c r="C46" s="44" t="str">
        <x:v>Pedido inexistente</x:v>
      </x:c>
      <x:c r="D46" s="44" t="str">
        <x:v>Error</x:v>
      </x:c>
      <x:c r="E46" s="44" t="str">
        <x:v>Resumen de compra maneja pedidos inexistentes</x:v>
      </x:c>
      <x:c r="F46" s="44" t="str">
        <x:v>URL /compra/no-existe</x:v>
      </x:c>
      <x:c r="G46" s="44" t="str">
        <x:v>Mensaje de pedido no disponible</x:v>
      </x:c>
      <x:c r="H46" s="44" t="str">
        <x:v>Todas las aserciones del caso se aprobaron</x:v>
      </x:c>
      <x:c r="I46" s="44" t="str">
        <x:v>Pasó</x:v>
      </x:c>
      <x:c r="J46" s="44" t="str">
        <x:v>Vicente, Victoria y Diego</x:v>
      </x:c>
      <x:c r="K46" s="46" t="d">
        <x:v>2026-10-14T00:00:00.000Z</x:v>
      </x:c>
      <x:c r="L46" s="44" t="str">
        <x:v>Duración: 3 ms. Chrome Headless 155.0.0.0 (Windows 10)</x:v>
      </x:c>
    </x:row>
    <x:row r="47" ht="78.75" hidden="0" customHeight="1">
      <x:c r="A47" s="44" t="str">
        <x:v>PU-046</x:v>
      </x:c>
      <x:c r="B47" s="44" t="str">
        <x:v>Ofertas</x:v>
      </x:c>
      <x:c r="C47" s="44" t="str">
        <x:v>Filtro de descuentos</x:v>
      </x:c>
      <x:c r="D47" s="44" t="str">
        <x:v>Normal</x:v>
      </x:c>
      <x:c r="E47" s="44" t="str">
        <x:v>Ofertas excluye productos sin descuento</x:v>
      </x:c>
      <x:c r="F47" s="44" t="str">
        <x:v>Dos productos; uno con 20% y otro con descuento cero</x:v>
      </x:c>
      <x:c r="G47" s="44" t="str">
        <x:v>Una sola tarjeta con precio 8000</x:v>
      </x:c>
      <x:c r="H47" s="44" t="str">
        <x:v>Todas las aserciones del caso se aprobaron</x:v>
      </x:c>
      <x:c r="I47" s="44" t="str">
        <x:v>Pasó</x:v>
      </x:c>
      <x:c r="J47" s="44" t="str">
        <x:v>Vicente, Victoria y Diego</x:v>
      </x:c>
      <x:c r="K47" s="46" t="d">
        <x:v>2026-10-14T00:00:00.000Z</x:v>
      </x:c>
      <x:c r="L47" s="44" t="str">
        <x:v>Duración: 11 ms. Chrome Headless 155.0.0.0 (Windows 10)</x:v>
      </x:c>
    </x:row>
    <x:row r="48" ht="78.75" hidden="0" customHeight="1">
      <x:c r="A48" s="44" t="str">
        <x:v>PU-047</x:v>
      </x:c>
      <x:c r="B48" s="44" t="str">
        <x:v>Categorias</x:v>
      </x:c>
      <x:c r="C48" s="44" t="str">
        <x:v>Renderizado y enlaces</x:v>
      </x:c>
      <x:c r="D48" s="44" t="str">
        <x:v>Normal</x:v>
      </x:c>
      <x:c r="E48" s="44" t="str">
        <x:v>Categorías renderiza el conjunto disponible</x:v>
      </x:c>
      <x:c r="F48" s="44" t="str">
        <x:v>Cuatro categorías y catálogo inicial</x:v>
      </x:c>
      <x:c r="G48" s="44" t="str">
        <x:v>Cuatro tarjetas con enlaces y tres productos por categoría</x:v>
      </x:c>
      <x:c r="H48" s="44" t="str">
        <x:v>Todas las aserciones del caso se aprobaron</x:v>
      </x:c>
      <x:c r="I48" s="44" t="str">
        <x:v>Pasó</x:v>
      </x:c>
      <x:c r="J48" s="44" t="str">
        <x:v>Vicente, Victoria y Diego</x:v>
      </x:c>
      <x:c r="K48" s="46" t="d">
        <x:v>2026-10-14T00:00:00.000Z</x:v>
      </x:c>
      <x:c r="L48" s="44" t="str">
        <x:v>Duración: 3 ms. Chrome Headless 155.0.0.0 (Windows 10)</x:v>
      </x:c>
    </x:row>
    <x:row r="49" ht="15" hidden="0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9"/>
      <x:c r="L49" s="8"/>
    </x:row>
    <x:row r="50" ht="15" hidden="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9"/>
      <x:c r="L50" s="8"/>
    </x:row>
    <x:row r="51" ht="15" hidden="0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9"/>
      <x:c r="L51" s="8"/>
    </x:row>
    <x:row r="52" ht="15" hidden="0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9"/>
      <x:c r="L52" s="8"/>
    </x:row>
    <x:row r="53" ht="15" hidden="0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9"/>
      <x:c r="L53" s="8"/>
    </x:row>
    <x:row r="54" ht="15" hidden="0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9"/>
      <x:c r="L54" s="8"/>
    </x:row>
    <x:row r="55" ht="15" hidden="0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9"/>
      <x:c r="L55" s="8"/>
    </x:row>
    <x:row r="56" ht="15" hidden="0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9"/>
      <x:c r="L56" s="8"/>
    </x:row>
    <x:row r="57" ht="15" hidden="0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9"/>
      <x:c r="L57" s="8"/>
    </x:row>
    <x:row r="58" ht="15" hidden="0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9"/>
      <x:c r="L58" s="8"/>
    </x:row>
    <x:row r="59" ht="15" hidden="0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9"/>
      <x:c r="L59" s="8"/>
    </x:row>
    <x:row r="60" ht="15" hidden="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9"/>
      <x:c r="L60" s="8"/>
    </x:row>
    <x:row r="61" ht="15" hidden="0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9"/>
      <x:c r="L61" s="8"/>
    </x:row>
    <x:row r="62" ht="15" hidden="0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9"/>
      <x:c r="L62" s="8"/>
    </x:row>
    <x:row r="63" ht="15" hidden="0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9"/>
      <x:c r="L63" s="8"/>
    </x:row>
    <x:row r="64" ht="15" hidden="0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9"/>
      <x:c r="L64" s="8"/>
    </x:row>
    <x:row r="65" ht="15" hidden="0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9"/>
      <x:c r="L65" s="8"/>
    </x:row>
    <x:row r="66" ht="15" hidden="0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9"/>
      <x:c r="L66" s="8"/>
    </x:row>
    <x:row r="67" ht="15" hidden="0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9"/>
      <x:c r="L67" s="8"/>
    </x:row>
    <x:row r="68" ht="15" hidden="0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9"/>
      <x:c r="L68" s="8"/>
    </x:row>
    <x:row r="69" ht="15" hidden="0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9"/>
      <x:c r="L69" s="8"/>
    </x:row>
    <x:row r="70" ht="15" hidden="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9"/>
      <x:c r="L70" s="8"/>
    </x:row>
    <x:row r="71" ht="15" hidden="0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9"/>
      <x:c r="L71" s="8"/>
    </x:row>
    <x:row r="72" ht="15" hidden="0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9"/>
      <x:c r="L72" s="8"/>
    </x:row>
    <x:row r="73" ht="15" hidden="0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9"/>
      <x:c r="L73" s="8"/>
    </x:row>
    <x:row r="74" ht="15" hidden="0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9"/>
      <x:c r="L74" s="8"/>
    </x:row>
    <x:row r="75" ht="15" hidden="0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9"/>
      <x:c r="L75" s="8"/>
    </x:row>
    <x:row r="76" ht="15" hidden="0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9"/>
      <x:c r="L76" s="8"/>
    </x:row>
    <x:row r="77" ht="15" hidden="0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9"/>
      <x:c r="L77" s="8"/>
    </x:row>
    <x:row r="78" ht="15" hidden="0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9"/>
      <x:c r="L78" s="8"/>
    </x:row>
    <x:row r="79" ht="15" hidden="0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9"/>
      <x:c r="L79" s="8"/>
    </x:row>
    <x:row r="80" ht="15" hidden="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9"/>
      <x:c r="L80" s="8"/>
    </x:row>
    <x:row r="81" ht="15" hidden="0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9"/>
      <x:c r="L81" s="8"/>
    </x:row>
    <x:row r="82" ht="15" hidden="0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9"/>
      <x:c r="L82" s="8"/>
    </x:row>
    <x:row r="83" ht="15" hidden="0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9"/>
      <x:c r="L83" s="8"/>
    </x:row>
    <x:row r="84" ht="15" hidden="0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9"/>
      <x:c r="L84" s="8"/>
    </x:row>
    <x:row r="85" ht="15" hidden="0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9"/>
      <x:c r="L85" s="8"/>
    </x:row>
    <x:row r="86" ht="15" hidden="0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9"/>
      <x:c r="L86" s="8"/>
    </x:row>
    <x:row r="87" ht="15" hidden="0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9"/>
      <x:c r="L87" s="8"/>
    </x:row>
    <x:row r="88" ht="15" hidden="0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9"/>
      <x:c r="L88" s="8"/>
    </x:row>
    <x:row r="89" ht="15" hidden="0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9"/>
      <x:c r="L89" s="8"/>
    </x:row>
    <x:row r="90" ht="15" hidden="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9"/>
      <x:c r="L90" s="8"/>
    </x:row>
    <x:row r="91" ht="15" hidden="0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9"/>
      <x:c r="L91" s="8"/>
    </x:row>
    <x:row r="92" ht="15" hidden="0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9"/>
      <x:c r="L92" s="8"/>
    </x:row>
    <x:row r="93" ht="15" hidden="0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9"/>
      <x:c r="L93" s="8"/>
    </x:row>
    <x:row r="94" ht="15" hidden="0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9"/>
      <x:c r="L94" s="8"/>
    </x:row>
    <x:row r="95" ht="15" hidden="0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9"/>
      <x:c r="L95" s="8"/>
    </x:row>
    <x:row r="96" ht="15" hidden="0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9"/>
      <x:c r="L96" s="8"/>
    </x:row>
    <x:row r="97" ht="15" hidden="0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9"/>
      <x:c r="L97" s="8"/>
    </x:row>
    <x:row r="98" ht="15" hidden="0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9"/>
      <x:c r="L98" s="8"/>
    </x:row>
    <x:row r="99" ht="15" hidden="0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9"/>
      <x:c r="L99" s="8"/>
    </x:row>
    <x:row r="100" ht="15" hidden="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9"/>
      <x:c r="L100" s="8"/>
    </x:row>
    <x:row r="101" ht="15" hidden="0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9"/>
      <x:c r="L101" s="8"/>
    </x:row>
    <x:row r="102" ht="15" hidden="0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9"/>
      <x:c r="L102" s="8"/>
    </x:row>
    <x:row r="103" ht="15" hidden="0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9"/>
      <x:c r="L103" s="8"/>
    </x:row>
    <x:row r="104" ht="15" hidden="0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9"/>
      <x:c r="L104" s="8"/>
    </x:row>
    <x:row r="105" ht="15" hidden="0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9"/>
      <x:c r="L105" s="8"/>
    </x:row>
    <x:row r="106" ht="15" hidden="0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9"/>
      <x:c r="L106" s="8"/>
    </x:row>
    <x:row r="107" ht="15" hidden="0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9"/>
      <x:c r="L107" s="8"/>
    </x:row>
    <x:row r="108" ht="15" hidden="0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9"/>
      <x:c r="L108" s="8"/>
    </x:row>
    <x:row r="109" ht="15" hidden="0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9"/>
      <x:c r="L109" s="8"/>
    </x:row>
    <x:row r="110" ht="15" hidden="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9"/>
      <x:c r="L110" s="8"/>
    </x:row>
    <x:row r="111" ht="15" hidden="0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9"/>
      <x:c r="L111" s="8"/>
    </x:row>
    <x:row r="112" ht="15" hidden="0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9"/>
      <x:c r="L112" s="8"/>
    </x:row>
    <x:row r="113" ht="15" hidden="0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9"/>
      <x:c r="L113" s="8"/>
    </x:row>
    <x:row r="114" ht="15" hidden="0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9"/>
      <x:c r="L114" s="8"/>
    </x:row>
    <x:row r="115" ht="15" hidden="0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9"/>
      <x:c r="L115" s="8"/>
    </x:row>
    <x:row r="116" ht="15" hidden="0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9"/>
      <x:c r="L116" s="8"/>
    </x:row>
    <x:row r="117" ht="15" hidden="0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9"/>
      <x:c r="L117" s="8"/>
    </x:row>
    <x:row r="118" ht="15" hidden="0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9"/>
      <x:c r="L118" s="8"/>
    </x:row>
    <x:row r="119" ht="15" hidden="0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9"/>
      <x:c r="L119" s="8"/>
    </x:row>
    <x:row r="120" ht="15" hidden="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9"/>
      <x:c r="L120" s="8"/>
    </x:row>
    <x:row r="121" ht="15" hidden="0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9"/>
      <x:c r="L121" s="8"/>
    </x:row>
    <x:row r="122" ht="15" hidden="0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9"/>
      <x:c r="L122" s="8"/>
    </x:row>
    <x:row r="123" ht="15" hidden="0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9"/>
      <x:c r="L123" s="8"/>
    </x:row>
    <x:row r="124" ht="15" hidden="0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9"/>
      <x:c r="L124" s="8"/>
    </x:row>
    <x:row r="125" ht="15" hidden="0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9"/>
      <x:c r="L125" s="8"/>
    </x:row>
    <x:row r="126" ht="15" hidden="0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9"/>
      <x:c r="L126" s="8"/>
    </x:row>
    <x:row r="127" ht="15" hidden="0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9"/>
      <x:c r="L127" s="8"/>
    </x:row>
    <x:row r="128" ht="15" hidden="0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9"/>
      <x:c r="L128" s="8"/>
    </x:row>
    <x:row r="129" ht="15" hidden="0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9"/>
      <x:c r="L129" s="8"/>
    </x:row>
    <x:row r="130" ht="15" hidden="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9"/>
      <x:c r="L130" s="8"/>
    </x:row>
    <x:row r="131" ht="15" hidden="0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9"/>
      <x:c r="L131" s="8"/>
    </x:row>
    <x:row r="132" ht="15" hidden="0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9"/>
      <x:c r="L132" s="8"/>
    </x:row>
    <x:row r="133" ht="15" hidden="0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9"/>
      <x:c r="L133" s="8"/>
    </x:row>
    <x:row r="134" ht="15" hidden="0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9"/>
      <x:c r="L134" s="8"/>
    </x:row>
    <x:row r="135" ht="15" hidden="0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9"/>
      <x:c r="L135" s="8"/>
    </x:row>
    <x:row r="136" ht="15" hidden="0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9"/>
      <x:c r="L136" s="8"/>
    </x:row>
    <x:row r="137" ht="15" hidden="0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9"/>
      <x:c r="L137" s="8"/>
    </x:row>
    <x:row r="138" ht="15" hidden="0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9"/>
      <x:c r="L138" s="8"/>
    </x:row>
    <x:row r="139" ht="15" hidden="0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9"/>
      <x:c r="L139" s="8"/>
    </x:row>
    <x:row r="140" ht="15" hidden="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9"/>
      <x:c r="L140" s="8"/>
    </x:row>
    <x:row r="141" ht="15" hidden="0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9"/>
      <x:c r="L141" s="8"/>
    </x:row>
    <x:row r="142" ht="15" hidden="0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9"/>
      <x:c r="L142" s="8"/>
    </x:row>
    <x:row r="143" ht="15" hidden="0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9"/>
      <x:c r="L143" s="8"/>
    </x:row>
    <x:row r="144" ht="15" hidden="0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9"/>
      <x:c r="L144" s="8"/>
    </x:row>
    <x:row r="145" ht="15" hidden="0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9"/>
      <x:c r="L145" s="8"/>
    </x:row>
    <x:row r="146" ht="15" hidden="0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9"/>
      <x:c r="L146" s="8"/>
    </x:row>
    <x:row r="147" ht="15" hidden="0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9"/>
      <x:c r="L147" s="8"/>
    </x:row>
    <x:row r="148" ht="15" hidden="0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9"/>
      <x:c r="L148" s="8"/>
    </x:row>
    <x:row r="149" ht="15" hidden="0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9"/>
      <x:c r="L149" s="8"/>
    </x:row>
    <x:row r="150" ht="15" hidden="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9"/>
      <x:c r="L150" s="8"/>
    </x:row>
    <x:row r="151" ht="15" hidden="0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9"/>
      <x:c r="L151" s="8"/>
    </x:row>
    <x:row r="152" ht="15" hidden="0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9"/>
      <x:c r="L152" s="8"/>
    </x:row>
    <x:row r="153" ht="15" hidden="0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9"/>
      <x:c r="L153" s="8"/>
    </x:row>
    <x:row r="154" ht="15" hidden="0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9"/>
      <x:c r="L154" s="8"/>
    </x:row>
    <x:row r="155" ht="15" hidden="0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9"/>
      <x:c r="L155" s="8"/>
    </x:row>
    <x:row r="156" ht="15" hidden="0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9"/>
      <x:c r="L156" s="8"/>
    </x:row>
    <x:row r="157" ht="15" hidden="0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9"/>
      <x:c r="L157" s="8"/>
    </x:row>
    <x:row r="158" ht="15" hidden="0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9"/>
      <x:c r="L158" s="8"/>
    </x:row>
    <x:row r="159" ht="15" hidden="0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9"/>
      <x:c r="L159" s="8"/>
    </x:row>
    <x:row r="160" ht="15" hidden="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9"/>
      <x:c r="L160" s="8"/>
    </x:row>
    <x:row r="161" ht="15" hidden="0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9"/>
      <x:c r="L161" s="8"/>
    </x:row>
    <x:row r="162" ht="15" hidden="0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9"/>
      <x:c r="L162" s="8"/>
    </x:row>
    <x:row r="163" ht="15" hidden="0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9"/>
      <x:c r="L163" s="8"/>
    </x:row>
    <x:row r="164" ht="15" hidden="0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9"/>
      <x:c r="L164" s="8"/>
    </x:row>
    <x:row r="165" ht="15" hidden="0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9"/>
      <x:c r="L165" s="8"/>
    </x:row>
    <x:row r="166" ht="15" hidden="0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9"/>
      <x:c r="L166" s="8"/>
    </x:row>
    <x:row r="167" ht="15" hidden="0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9"/>
      <x:c r="L167" s="8"/>
    </x:row>
    <x:row r="168" ht="15" hidden="0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9"/>
      <x:c r="L168" s="8"/>
    </x:row>
    <x:row r="169" ht="15" hidden="0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9"/>
      <x:c r="L169" s="8"/>
    </x:row>
    <x:row r="170" ht="15" hidden="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9"/>
      <x:c r="L170" s="8"/>
    </x:row>
    <x:row r="171" ht="15" hidden="0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9"/>
      <x:c r="L171" s="8"/>
    </x:row>
    <x:row r="172" ht="15" hidden="0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9"/>
      <x:c r="L172" s="8"/>
    </x:row>
    <x:row r="173" ht="15" hidden="0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9"/>
      <x:c r="L173" s="8"/>
    </x:row>
    <x:row r="174" ht="15" hidden="0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9"/>
      <x:c r="L174" s="8"/>
    </x:row>
    <x:row r="175" ht="15" hidden="0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9"/>
      <x:c r="L175" s="8"/>
    </x:row>
    <x:row r="176" ht="15" hidden="0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9"/>
      <x:c r="L176" s="8"/>
    </x:row>
    <x:row r="177" ht="15" hidden="0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9"/>
      <x:c r="L177" s="8"/>
    </x:row>
    <x:row r="178" ht="15" hidden="0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9"/>
      <x:c r="L178" s="8"/>
    </x:row>
    <x:row r="179" ht="15" hidden="0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9"/>
      <x:c r="L179" s="8"/>
    </x:row>
    <x:row r="180" ht="15" hidden="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9"/>
      <x:c r="L180" s="8"/>
    </x:row>
    <x:row r="181" ht="15" hidden="0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9"/>
      <x:c r="L181" s="8"/>
    </x:row>
    <x:row r="182" ht="15" hidden="0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9"/>
      <x:c r="L182" s="8"/>
    </x:row>
    <x:row r="183" ht="15" hidden="0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9"/>
      <x:c r="L183" s="8"/>
    </x:row>
    <x:row r="184" ht="15" hidden="0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9"/>
      <x:c r="L184" s="8"/>
    </x:row>
    <x:row r="185" ht="15" hidden="0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9"/>
      <x:c r="L185" s="8"/>
    </x:row>
    <x:row r="186" ht="15" hidden="0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9"/>
      <x:c r="L186" s="8"/>
    </x:row>
    <x:row r="187" ht="15" hidden="0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9"/>
      <x:c r="L187" s="8"/>
    </x:row>
    <x:row r="188" ht="15" hidden="0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9"/>
      <x:c r="L188" s="8"/>
    </x:row>
    <x:row r="189" ht="15" hidden="0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9"/>
      <x:c r="L189" s="8"/>
    </x:row>
    <x:row r="190" ht="15" hidden="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9"/>
      <x:c r="L190" s="8"/>
    </x:row>
    <x:row r="191" ht="15" hidden="0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9"/>
      <x:c r="L191" s="8"/>
    </x:row>
    <x:row r="192" ht="15" hidden="0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9"/>
      <x:c r="L192" s="8"/>
    </x:row>
    <x:row r="193" ht="15" hidden="0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9"/>
      <x:c r="L193" s="8"/>
    </x:row>
    <x:row r="194" ht="15" hidden="0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9"/>
      <x:c r="L194" s="8"/>
    </x:row>
    <x:row r="195" ht="15" hidden="0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9"/>
      <x:c r="L195" s="8"/>
    </x:row>
    <x:row r="196" ht="15" hidden="0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9"/>
      <x:c r="L196" s="8"/>
    </x:row>
    <x:row r="197" ht="15" hidden="0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9"/>
      <x:c r="L197" s="8"/>
    </x:row>
    <x:row r="198" ht="15" hidden="0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9"/>
      <x:c r="L198" s="8"/>
    </x:row>
    <x:row r="199" ht="15" hidden="0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9"/>
      <x:c r="L199" s="8"/>
    </x:row>
    <x:row r="200" ht="15" hidden="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9"/>
      <x:c r="L200" s="8"/>
    </x:row>
    <x:row r="201" ht="15" hidden="0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9"/>
      <x:c r="L201" s="8"/>
    </x:row>
  </x:sheetData>
  <x:conditionalFormatting sqref="I2:I201">
    <x:cfRule type="cellIs" dxfId="6" priority="2" aboveAverage="0" percent="0" bottom="0" operator="equal" rank="0" equalAverage="0">
      <x:formula>"Pasó"</x:formula>
    </x:cfRule>
    <x:cfRule type="cellIs" dxfId="7" priority="3" aboveAverage="0" percent="0" bottom="0" operator="equal" rank="0" equalAverage="0">
      <x:formula>"Falló"</x:formula>
    </x:cfRule>
    <x:cfRule type="cellIs" dxfId="8" priority="4" aboveAverage="0" percent="0" bottom="0" operator="equal" rank="0" equalAverage="0">
      <x:formula>"Pendiente"</x:formula>
    </x:cfRule>
    <x:cfRule type="cellIs" dxfId="9" priority="5" aboveAverage="0" percent="0" bottom="0" operator="equal" rank="0" equalAverage="0">
      <x:formula>"Omitido"</x:formula>
    </x:cfRule>
  </x:conditionalFormatting>
  <x:dataValidations count="4">
    <x:dataValidation type="list" errorStyle="stop" operator="between" allowBlank="1" showDropDown="0" showInputMessage="0" showErrorMessage="0" sqref="I49:I201">
      <x:formula1>"Pasó,Falló,Pendiente,Omitido"</x:formula1>
      <x:formula2>0</x:formula2>
    </x:dataValidation>
    <x:dataValidation type="list" errorStyle="stop" operator="between" allowBlank="1" showDropDown="0" showInputMessage="0" showErrorMessage="0" sqref="D49:D201">
      <x:formula1>"Normal,Borde,Error"</x:formula1>
      <x:formula2>0</x:formula2>
    </x:dataValidation>
    <x:dataValidation type="list" errorStyle="stop" allowBlank="1" showDropDown="0" showInputMessage="0" showErrorMessage="0" sqref="I2:I48">
      <x:formula1>"Pasó,Falló,Pendiente,Omitido"</x:formula1>
    </x:dataValidation>
    <x:dataValidation type="list" errorStyle="stop" allowBlank="1" showDropDown="0" showInputMessage="0" showErrorMessage="0" sqref="D2:D48">
      <x:formula1>"Normal,Borde,Error"</x:formula1>
    </x:dataValidation>
  </x:dataValidations>
  <x:pageMargins left="0.7" right="0.7" top="0.75" bottom="0.75" header="0.3" footer="0.3"/>
  <x:legacyDrawing xmlns:r="http://schemas.openxmlformats.org/officeDocument/2006/relationships" r:id="R9c44a4555cab448c"/>
  <x:tableParts count="1">
    <x:tablePart xmlns:r="http://schemas.openxmlformats.org/officeDocument/2006/relationships" r:id="Rec0fde2a3ade49d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45.630001068115234" hidden="0" customWidth="1"/>
    <x:col min="2" max="4" width="12" hidden="0" customWidth="1"/>
    <x:col min="2" max="2" width="18.1299991607666" hidden="0" customWidth="1"/>
  </x:cols>
  <x:sheetData>
    <x:row r="1" ht="21.75" hidden="0" customHeight="1">
      <x:c r="A1" s="1" t="s">
        <x:v>29</x:v>
      </x:c>
    </x:row>
    <x:row r="2" ht="21.75" customHeight="1"/>
    <x:row r="3" ht="21.75" hidden="0" customHeight="1">
      <x:c r="A3" s="10" t="s">
        <x:v>30</x:v>
      </x:c>
      <x:c r="B3" s="47" t="n">
        <x:f aca="0">COUNTA('Casos de Prueba'!A2:A48)</x:f>
        <x:v>47</x:v>
      </x:c>
    </x:row>
    <x:row r="4" ht="21.75" hidden="0" customHeight="1">
      <x:c r="A4" s="12" t="s">
        <x:v>31</x:v>
      </x:c>
      <x:c r="B4" s="47" t="n">
        <x:f aca="0">COUNTIFS('Casos de Prueba'!I2:I48,A4)</x:f>
        <x:v>47</x:v>
      </x:c>
    </x:row>
    <x:row r="5" ht="21.75" hidden="0" customHeight="1">
      <x:c r="A5" s="13" t="s">
        <x:v>32</x:v>
      </x:c>
      <x:c r="B5" s="47" t="n">
        <x:f aca="0">COUNTIFS('Casos de Prueba'!I2:I48,A5)</x:f>
        <x:v>0</x:v>
      </x:c>
    </x:row>
    <x:row r="6" ht="21.75" hidden="0" customHeight="1">
      <x:c r="A6" s="14" t="s">
        <x:v>33</x:v>
      </x:c>
      <x:c r="B6" s="47" t="n">
        <x:f aca="0">COUNTIFS('Casos de Prueba'!I2:I48,A6)</x:f>
        <x:v>0</x:v>
      </x:c>
    </x:row>
    <x:row r="7" ht="21.75" hidden="0" customHeight="1">
      <x:c r="A7" s="15" t="s">
        <x:v>34</x:v>
      </x:c>
      <x:c r="B7" s="47" t="n">
        <x:f aca="0">COUNTIFS('Casos de Prueba'!I2:I48,A7)</x:f>
        <x:v>0</x:v>
      </x:c>
    </x:row>
    <x:row r="8" ht="21.75" hidden="0" customHeight="1">
      <x:c r="A8" s="10" t="s">
        <x:v>35</x:v>
      </x:c>
      <x:c r="B8" s="47" t="n">
        <x:f aca="0">B3-SUM(B4:B7)</x:f>
        <x:v>0</x:v>
      </x:c>
    </x:row>
    <x:row r="9" ht="21.75" hidden="0" customHeight="1">
      <x:c r="A9" s="10" t="s">
        <x:v>36</x:v>
      </x:c>
      <x:c r="B9" s="48" t="n">
        <x:f aca="0">IF(SUM(B4:B5)=0,0,B4/SUM(B4:B5))</x:f>
        <x:v>1</x:v>
      </x:c>
    </x:row>
    <x:row r="10" ht="21.75" hidden="0" customHeight="1">
      <x:c r="A10" s="10" t="s">
        <x:v>37</x:v>
      </x:c>
      <x:c r="B10" s="48" t="n">
        <x:f aca="0">IF(B3=0,0,SUM(B4:B5)/B3)</x:f>
        <x:v>1</x:v>
      </x:c>
    </x:row>
    <x:row r="13" ht="15" hidden="0">
      <x:c r="A13" s="5" t="s">
        <x:v>38</x:v>
      </x:c>
    </x:row>
    <x:row r="14" ht="15" hidden="0">
      <x:c r="A14" s="17" t="s">
        <x:v>39</x:v>
      </x:c>
      <x:c r="B14" s="17" t="s">
        <x:v>40</x:v>
      </x:c>
      <x:c r="C14" s="17" t="s">
        <x:v>31</x:v>
      </x:c>
      <x:c r="D14" s="17" t="s">
        <x:v>32</x:v>
      </x:c>
    </x:row>
    <x:row r="15" ht="15" hidden="0">
      <x:c r="A15" s="18" t="s">
        <x:v>41</x:v>
      </x:c>
      <x:c r="B15" s="11" t="n">
        <x:f aca="0">COUNTIF('Casos de Prueba'!D2:D201,A15)</x:f>
        <x:v>24</x:v>
      </x:c>
      <x:c r="C15" s="11" t="n">
        <x:f aca="0">COUNTIFS('Casos de Prueba'!D2:D201,A15,'Casos de Prueba'!I2:I201,"Pasó")</x:f>
        <x:v>24</x:v>
      </x:c>
      <x:c r="D15" s="11" t="n">
        <x:f aca="0">COUNTIFS('Casos de Prueba'!D2:D201,A15,'Casos de Prueba'!I2:I201,"Falló")</x:f>
        <x:v>0</x:v>
      </x:c>
    </x:row>
    <x:row r="16" ht="15" hidden="0">
      <x:c r="A16" s="18" t="s">
        <x:v>42</x:v>
      </x:c>
      <x:c r="B16" s="11" t="n">
        <x:f aca="0">COUNTIF('Casos de Prueba'!D2:D201,A16)</x:f>
        <x:v>7</x:v>
      </x:c>
      <x:c r="C16" s="11" t="n">
        <x:f aca="0">COUNTIFS('Casos de Prueba'!D2:D201,A16,'Casos de Prueba'!I2:I201,"Pasó")</x:f>
        <x:v>7</x:v>
      </x:c>
      <x:c r="D16" s="11" t="n">
        <x:f aca="0">COUNTIFS('Casos de Prueba'!D2:D201,A16,'Casos de Prueba'!I2:I201,"Falló")</x:f>
        <x:v>0</x:v>
      </x:c>
    </x:row>
    <x:row r="17" ht="15" hidden="0">
      <x:c r="A17" s="18" t="s">
        <x:v>43</x:v>
      </x:c>
      <x:c r="B17" s="11" t="n">
        <x:f aca="0">COUNTIF('Casos de Prueba'!D2:D201,A17)</x:f>
        <x:v>16</x:v>
      </x:c>
      <x:c r="C17" s="11" t="n">
        <x:f aca="0">COUNTIFS('Casos de Prueba'!D2:D201,A17,'Casos de Prueba'!I2:I201,"Pasó")</x:f>
        <x:v>16</x:v>
      </x:c>
      <x:c r="D17" s="11" t="n">
        <x:f aca="0">COUNTIFS('Casos de Prueba'!D2:D201,A17,'Casos de Prueba'!I2:I201,"Falló")</x:f>
        <x:v>0</x:v>
      </x:c>
    </x:row>
    <x:row r="20" ht="15" hidden="0">
      <x:c r="A20" s="19" t="s">
        <x:v>44</x:v>
      </x:c>
    </x:row>
  </x:sheetData>
  <x:pageMargins left="0.7" right="0.7" top="0.75" bottom="0.75" header="0.3" footer="0.3"/>
</x:worksheet>
</file>