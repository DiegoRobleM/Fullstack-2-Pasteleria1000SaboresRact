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8a3c86890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6e23180e53a54224"/>
    <x:sheet xmlns:r="http://schemas.openxmlformats.org/officeDocument/2006/relationships" name="Casos de Prueba" sheetId="2" r:id="R2aebc877dddb414b"/>
    <x:sheet xmlns:r="http://schemas.openxmlformats.org/officeDocument/2006/relationships" name="Resumen" sheetId="3" r:id="R452cb7f28d70401b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2" authorId="0">
      <x:text>
        <x:r>
          <x:t>Filas de ejemplo (2 a 4): bórrenlas o reemplácenlas por sus propios casos.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<x:sst xmlns:x="http://schemas.openxmlformats.org/spreadsheetml/2006/main">
  <x:si>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Registro de Pruebas Unitarias</x:t>
  </x:si>
  <x:si>
    <x:t xml:space="preserve">Proyecto:</x:t>
  </x:si>
  <x:si>
    <x:t xml:space="preserve">Curso / Asignatura:</x:t>
  </x:si>
  <x:si>
    <x:t xml:space="preserve">Equipo / Integrantes:</x:t>
  </x:si>
  <x:si>
    <x:t xml:space="preserve">Lenguaje y framework de pruebas:</x:t>
  </x:si>
  <x:si>
    <x:t xml:space="preserve">Cómo usar esta planilla</x:t>
  </x:si>
  <x:si>
    <x:t xml:space="preserve">1. Completen los datos del proyecto arriba (celdas amarillas).</x:t>
  </x:si>
  <x:si>
    <x:t xml:space="preserve">2. En la hoja 'Casos de Prueba', agreguen una fila por cada caso de prueba (un test = una fila).</x:t>
  </x:si>
  <x:si>
    <x:t xml:space="preserve">4. Usen IDs correlativos: PU-001, PU-002, ... para poder referenciarlos en el informe.</x:t>
  </x:si>
  <x:si>
    <x:t xml:space="preserve">5. 'Resultado esperado' se escribe ANTES de ejecutar; 'Resultado obtenido' DESPUÉS.</x:t>
  </x:si>
  <x:si>
    <x:t xml:space="preserve">6. Elijan el Estado desde la lista: Pasó, Falló, Pendiente u Omitido.</x:t>
  </x:si>
  <x:si>
    <x:t xml:space="preserve">7. Si un test falla, describan el error en 'Observaciones' y, al corregirlo, actualicen el estado.</x:t>
  </x:si>
  <x:si>
    <x:t xml:space="preserve">8. La hoja 'Resumen' se calcula sola: no hay que escribir nada ahí.</x:t>
  </x:si>
  <x:si>
    <x:t xml:space="preserve">Tipos de caso sugeridos:</x:t>
  </x:si>
  <x:si>
    <x:t xml:space="preserve">• Caso normal: entrada válida típica.</x:t>
  </x:si>
  <x:si>
    <x:t xml:space="preserve">• Caso borde: límites (0, vacío, máximo, mínimo, un solo elemento).</x:t>
  </x:si>
  <x:si>
    <x:t xml:space="preserve">• Caso de error: entrada inválida que debería lanzar excepción o devolver error.</x:t>
  </x:si>
  <x:si>
    <x:t xml:space="preserve">ID</x:t>
  </x:si>
  <x:si>
    <x:t xml:space="preserve">Módulo / Clase</x:t>
  </x:si>
  <x:si>
    <x:t xml:space="preserve">Función / Método</x:t>
  </x:si>
  <x:si>
    <x:t xml:space="preserve">Tipo de caso</x:t>
  </x:si>
  <x:si>
    <x:t xml:space="preserve">Descripción del caso</x:t>
  </x:si>
  <x:si>
    <x:t xml:space="preserve">Datos de entrada</x:t>
  </x:si>
  <x:si>
    <x:t xml:space="preserve">Resultado esperado</x:t>
  </x:si>
  <x:si>
    <x:t xml:space="preserve">Resultado obtenido</x:t>
  </x:si>
  <x:si>
    <x:t xml:space="preserve">Estado</x:t>
  </x:si>
  <x:si>
    <x:t xml:space="preserve">Responsable</x:t>
  </x:si>
  <x:si>
    <x:t xml:space="preserve">Fecha ejecución</x:t>
  </x:si>
  <x:si>
    <x:t xml:space="preserve">Observaciones</x:t>
  </x:si>
  <x:si>
    <x:t xml:space="preserve">Resumen de Pruebas</x:t>
  </x:si>
  <x:si>
    <x:t xml:space="preserve">Total de casos</x:t>
  </x:si>
  <x:si>
    <x:t xml:space="preserve">Pasó</x:t>
  </x:si>
  <x:si>
    <x:t xml:space="preserve">Falló</x:t>
  </x:si>
  <x:si>
    <x:t xml:space="preserve">Pendiente</x:t>
  </x:si>
  <x:si>
    <x:t xml:space="preserve">Omitido</x:t>
  </x:si>
  <x:si>
    <x:t xml:space="preserve">Sin estado</x:t>
  </x:si>
  <x:si>
    <x:t xml:space="preserve">% de éxito (Pasó / ejecutados)</x:t>
  </x:si>
  <x:si>
    <x:t xml:space="preserve">% de avance (ejecutados / total)</x:t>
  </x:si>
  <x:si>
    <x:t xml:space="preserve">Por tipo de caso</x:t>
  </x:si>
  <x:si>
    <x:t xml:space="preserve">Tipo</x:t>
  </x:si>
  <x:si>
    <x:t xml:space="preserve">Total</x:t>
  </x:si>
  <x:si>
    <x:t xml:space="preserve">Normal</x:t>
  </x:si>
  <x:si>
    <x:t xml:space="preserve">Borde</x:t>
  </x:si>
  <x:si>
    <x:t xml:space="preserve">Error</x:t>
  </x:si>
  <x:si>
    <x:t xml:space="preserve">Esta hoja se calcula automáticamente desde 'Casos de Prueba'.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</x:si>
</x:sst>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dd\-mm\-yyyy"/>
    <x:numFmt numFmtId="166" formatCode="General"/>
    <x:numFmt numFmtId="167" formatCode="0.0%"/>
    <x:numFmt numFmtId="200" formatCode="dd-mm-yyyy"/>
    <x:numFmt numFmtId="201" formatCode="0"/>
    <x:numFmt numFmtId="202" formatCode="0.00%"/>
  </x:numFmts>
  <x:fonts count="24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4E78"/>
      <x:name val="Arial"/>
    </x:font>
    <x:font>
      <x:b/>
      <x:sz val="11"/>
      <x:name val="Arial"/>
    </x:font>
    <x:font>
      <x:sz val="11"/>
      <x:color rgb="FF000000"/>
      <x:name val="Arial"/>
    </x:font>
    <x:font>
      <x:i/>
      <x:sz val="11"/>
      <x:color rgb="FF808080"/>
      <x:name val="Arial"/>
    </x:font>
    <x:font>
      <x:b/>
      <x:sz val="12"/>
      <x:color rgb="FF1F4E78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  <x:family val="2"/>
    </x:font>
    <x:font>
      <x:b/>
      <x:sz val="16"/>
      <x:color rgb="FF1F4E78"/>
      <x:name val="Calibri"/>
    </x:font>
    <x:font>
      <x:b/>
      <x:sz val="11"/>
      <x:name val="Calibri"/>
    </x:font>
    <x:font>
      <x:sz val="11"/>
      <x:color rgb="FF000000"/>
      <x:name val="Calibri"/>
    </x:font>
    <x:font>
      <x:i/>
      <x:sz val="11"/>
      <x:color rgb="FF808080"/>
      <x:name val="Calibri"/>
    </x:font>
    <x:font>
      <x:b/>
      <x:sz val="12"/>
      <x:color rgb="FF1F4E78"/>
      <x:name val="Calibri"/>
    </x:font>
    <x:font>
      <x:sz val="11"/>
      <x:name val="Calibri"/>
    </x:font>
    <x:font>
      <x:b/>
      <x:sz val="11"/>
      <x:color rgb="FF1F4E78"/>
      <x:name val="Calibri"/>
    </x:font>
    <x:font>
      <x:sz val="11"/>
      <x:color rgb="FF000000"/>
      <x:name val="Calibri"/>
    </x:font>
    <x:font>
      <x:sz val="11"/>
      <x:color rgb="FF808080"/>
      <x:name val="Calibri"/>
    </x:font>
    <x:font>
      <x:sz val="11"/>
      <x:color theme="1"/>
      <x:name val="Calibri"/>
      <x:family val="2"/>
    </x:font>
    <x:font>
      <x:b/>
      <x:sz val="18"/>
      <x:color rgb="FF1F4E78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9E5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FFF9E6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9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1" xfId="0" applyFont="1" applyBorder="1" applyAlignment="0" applyProtection="0">
      <x:alignment horizontal="general" vertical="bottom" wrapText="0" shrinkToFit="0"/>
      <x:protection locked="1" hidden="0"/>
    </x:xf>
    <x:xf numFmtId="164" fontId="7" fillId="2" borderId="1" xfId="0" applyFont="1" applyBorder="1" applyAlignment="0" applyProtection="0">
      <x:alignment horizontal="general" vertical="bottom" wrapText="0" shrinkToFit="0"/>
      <x:protection locked="1" hidden="0"/>
    </x:xf>
    <x:xf numFmtId="164" fontId="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0" fillId="3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2" borderId="1" xfId="0" applyFont="1" applyBorder="1" applyAlignment="1" applyProtection="0">
      <x:alignment horizontal="general" vertical="top" wrapText="1" shrinkToFit="0"/>
      <x:protection locked="1" hidden="0"/>
    </x:xf>
    <x:xf numFmtId="165" fontId="9" fillId="2" borderId="1" xfId="0" applyFont="1" applyBorder="1" applyAlignment="1" applyProtection="0">
      <x:alignment horizontal="general" vertical="top" wrapText="1" shrinkToFit="0"/>
      <x:protection locked="1" hidden="0"/>
    </x:xf>
    <x:xf numFmtId="164" fontId="5" fillId="0" borderId="1" xfId="0" applyFont="1" applyBorder="1" applyAlignment="0" applyProtection="0">
      <x:alignment horizontal="general" vertical="bottom" wrapText="0" shrinkToFit="0"/>
      <x:protection locked="1" hidden="0"/>
    </x:xf>
    <x:xf numFmtId="166" fontId="9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5" fillId="4" borderId="1" xfId="0" applyFont="1" applyBorder="1" applyAlignment="0" applyProtection="0">
      <x:alignment horizontal="general" vertical="bottom" wrapText="0" shrinkToFit="0"/>
      <x:protection locked="1" hidden="0"/>
    </x:xf>
    <x:xf numFmtId="164" fontId="5" fillId="5" borderId="1" xfId="0" applyFont="1" applyBorder="1" applyAlignment="0" applyProtection="0">
      <x:alignment horizontal="general" vertical="bottom" wrapText="0" shrinkToFit="0"/>
      <x:protection locked="1" hidden="0"/>
    </x:xf>
    <x:xf numFmtId="164" fontId="5" fillId="6" borderId="1" xfId="0" applyFont="1" applyBorder="1" applyAlignment="0" applyProtection="0">
      <x:alignment horizontal="general" vertical="bottom" wrapText="0" shrinkToFit="0"/>
      <x:protection locked="1" hidden="0"/>
    </x:xf>
    <x:xf numFmtId="164" fontId="5" fillId="7" borderId="1" xfId="0" applyFont="1" applyBorder="1" applyAlignment="0" applyProtection="0">
      <x:alignment horizontal="general" vertical="bottom" wrapText="0" shrinkToFit="0"/>
      <x:protection locked="1" hidden="0"/>
    </x:xf>
    <x:xf numFmtId="167" fontId="9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10" fillId="3" borderId="1" xfId="0" applyFont="1" applyBorder="1" applyAlignment="1" applyProtection="0">
      <x:alignment horizontal="center" vertical="bottom" wrapText="0" shrinkToFit="0"/>
      <x:protection locked="1" hidden="0"/>
    </x:xf>
    <x:xf numFmtId="164" fontId="9" fillId="0" borderId="1" xfId="0" applyFont="1" applyBorder="1" applyAlignment="0" applyProtection="0">
      <x:alignment horizontal="general" vertical="bottom" wrapText="0" shrinkToFit="0"/>
      <x:protection locked="1" hidden="0"/>
    </x:xf>
    <x:xf numFmtId="164" fontId="7" fillId="0" borderId="0" xfId="0" applyFont="1" applyBorder="0" applyAlignment="0" applyProtection="0">
      <x:alignment horizontal="general" vertical="bottom" wrapText="0" shrinkToFit="0"/>
      <x:protection locked="1" hidden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2" borderId="1" xfId="0" applyNumberFormat="1" applyFont="1" applyFill="1" applyBorder="1" applyAlignment="1">
      <x:alignment horizontal="general" vertical="bottom" wrapText="0"/>
    </x:xf>
    <x:xf numFmtId="164" fontId="15" fillId="2" borderId="1" xfId="0" applyNumberFormat="1" applyFont="1" applyFill="1" applyBorder="1" applyAlignment="1">
      <x:alignment horizontal="general" vertical="bottom" wrapText="0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0"/>
    </x:xf>
    <x:xf numFmtId="164" fontId="14" fillId="2" borderId="1" xfId="0" applyNumberFormat="1" applyFont="1" applyFill="1" applyBorder="1" applyAlignment="1">
      <x:alignment horizontal="general" vertical="bottom" wrapText="1"/>
    </x:xf>
    <x:xf numFmtId="164" fontId="15" fillId="2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4" fontId="19" fillId="2" borderId="1" xfId="0" applyNumberFormat="1" applyFont="1" applyFill="1" applyBorder="1" applyAlignment="1">
      <x:alignment horizontal="general" vertical="bottom" wrapText="1"/>
    </x:xf>
    <x:xf numFmtId="164" fontId="20" fillId="2" borderId="1" xfId="0" applyNumberFormat="1" applyFont="1" applyFill="1" applyBorder="1" applyAlignment="1">
      <x:alignment horizontal="general" vertical="bottom" wrapText="1"/>
    </x:xf>
    <x:xf numFmtId="164" fontId="21" fillId="0" borderId="0" xfId="0" applyNumberFormat="1" applyFont="1" applyFill="1" applyBorder="1" applyAlignment="1">
      <x:alignment horizontal="general" vertical="bottom" wrapText="1"/>
    </x:xf>
    <x:xf numFmtId="200" fontId="21" fillId="0" borderId="0" xfId="0" applyNumberFormat="1" applyFont="1" applyFill="1" applyBorder="1" applyAlignment="1">
      <x:alignment horizontal="general" vertical="bottom" wrapText="1"/>
    </x:xf>
    <x:xf numFmtId="164" fontId="22" fillId="0" borderId="0" xfId="0" applyNumberFormat="1" applyFont="1" applyFill="1" applyBorder="1" applyAlignment="1">
      <x:alignment horizontal="general" vertical="bottom" wrapText="0"/>
    </x:xf>
    <x:xf numFmtId="164" fontId="23" fillId="3" borderId="1" xfId="0" applyNumberFormat="1" applyFont="1" applyFill="1" applyBorder="1" applyAlignment="1">
      <x:alignment horizontal="center" vertical="center" wrapText="1"/>
    </x:xf>
    <x:xf numFmtId="164" fontId="17" fillId="2" borderId="1" xfId="0" applyNumberFormat="1" applyFont="1" applyFill="1" applyBorder="1" applyAlignment="1">
      <x:alignment horizontal="general" vertical="top" wrapText="1"/>
    </x:xf>
    <x:xf numFmtId="165" fontId="17" fillId="2" borderId="1" xfId="0" applyNumberFormat="1" applyFont="1" applyFill="1" applyBorder="1" applyAlignment="1">
      <x:alignment horizontal="general" vertical="top" wrapText="1"/>
    </x:xf>
    <x:xf numFmtId="164" fontId="17" fillId="2" borderId="1" xfId="0" applyNumberFormat="1" applyFont="1" applyFill="1" applyBorder="1" applyAlignment="1">
      <x:alignment horizontal="general" vertical="center" wrapText="1"/>
    </x:xf>
    <x:xf numFmtId="165" fontId="17" fillId="2" borderId="1" xfId="0" applyNumberFormat="1" applyFont="1" applyFill="1" applyBorder="1" applyAlignment="1">
      <x:alignment horizontal="general" vertical="center" wrapText="1"/>
    </x:xf>
    <x:xf numFmtId="164" fontId="23" fillId="8" borderId="1" xfId="0" applyNumberFormat="1" applyFont="1" applyFill="1" applyBorder="1" applyAlignment="1">
      <x:alignment horizontal="center" vertical="center" wrapText="1"/>
    </x:xf>
    <x:xf numFmtId="164" fontId="17" fillId="9" borderId="1" xfId="0" applyNumberFormat="1" applyFont="1" applyFill="1" applyBorder="1" applyAlignment="1">
      <x:alignment horizontal="general" vertical="center" wrapText="1"/>
    </x:xf>
    <x:xf numFmtId="165" fontId="17" fillId="9" borderId="1" xfId="0" applyNumberFormat="1" applyFont="1" applyFill="1" applyBorder="1" applyAlignment="1">
      <x:alignment horizontal="general" vertical="center" wrapText="1"/>
    </x:xf>
    <x:xf numFmtId="200" fontId="17" fillId="9" borderId="1" xfId="0" applyNumberFormat="1" applyFont="1" applyFill="1" applyBorder="1" applyAlignment="1">
      <x:alignment horizontal="general" vertical="center" wrapText="1"/>
    </x:xf>
    <x:xf numFmtId="201" fontId="9" fillId="0" borderId="1" xfId="0" applyNumberFormat="1" applyFont="1" applyFill="1" applyBorder="1" applyAlignment="1">
      <x:alignment horizontal="center" vertical="bottom" wrapText="0"/>
    </x:xf>
    <x:xf numFmtId="202" fontId="9" fillId="0" borderId="1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0">
    <x:dxf>
      <x:fill>
        <x:patternFill>
          <x:bgColor rgb="FF1F4E78"/>
        </x:patternFill>
      </x:fill>
    </x:dxf>
    <x:dxf>
      <x:fill>
        <x:patternFill>
          <x:bgColor rgb="FFFFF9E5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ont>
        <x:b/>
        <x:name val="Arial"/>
      </x:font>
      <x:fill>
        <x:patternFill>
          <x:bgColor rgb="FFC6EFCE"/>
        </x:patternFill>
      </x:fill>
    </x:dxf>
    <x:dxf>
      <x:font>
        <x:b/>
        <x:name val="Arial"/>
      </x:font>
      <x:fill>
        <x:patternFill>
          <x:bgColor rgb="FFFFC7CE"/>
        </x:patternFill>
      </x:fill>
    </x:dxf>
    <x:dxf>
      <x:font>
        <x:b/>
        <x:name val="Arial"/>
      </x:font>
      <x:fill>
        <x:patternFill>
          <x:bgColor rgb="FFFFEB9C"/>
        </x:patternFill>
      </x:fill>
    </x:dxf>
    <x:dxf>
      <x:font>
        <x:b/>
        <x:name val="Arial"/>
      </x:font>
      <x:fill>
        <x:patternFill>
          <x:bgColor rgb="FFD9D9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9E5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eaf819bae49c4" /><Relationship Type="http://schemas.openxmlformats.org/officeDocument/2006/relationships/theme" Target="/xl/theme/theme1.xml" Id="R62cebf5b747f4c28" /><Relationship Type="http://schemas.openxmlformats.org/officeDocument/2006/relationships/sharedStrings" Target="/xl/sharedStrings.xml" Id="Rf5fc97918b0543bf" /><Relationship Type="http://schemas.openxmlformats.org/officeDocument/2006/relationships/worksheet" Target="/xl/worksheets/sheet1.xml" Id="R6e23180e53a54224" /><Relationship Type="http://schemas.openxmlformats.org/officeDocument/2006/relationships/worksheet" Target="/xl/worksheets/sheet2.xml" Id="R2aebc877dddb414b" /><Relationship Type="http://schemas.openxmlformats.org/officeDocument/2006/relationships/worksheet" Target="/xl/worksheets/sheet3.xml" Id="R452cb7f28d70401b" /><Relationship Type="http://schemas.microsoft.com/office/2017/10/relationships/person" Target="/xl/persons/person.xml" Id="R49e7c645adc14e70" /></Relationships>
</file>

<file path=xl/persons/person.xml><?xml version="1.0" encoding="utf-8"?>
<xltc:personList xmlns:xltc="http://schemas.microsoft.com/office/spreadsheetml/2018/threadedcomments">
  <xltc:person displayName="Unknown Author" id="{2F320449-6FF0-784E-5A78-7C7DDFA0CA52}"/>
</xltc:personList>
</file>

<file path=xl/tables/table1.xml><?xml version="1.0" encoding="utf-8"?>
<x:table xmlns:x="http://schemas.openxmlformats.org/spreadsheetml/2006/main" id="1" name="CasosUnitarios" displayName="CasosUnitarios" ref="A1:L11" headerRowCount="1" totalsRowCount="0" totalsRowShown="0">
  <x:tableColumns count="12">
    <x:tableColumn id="1" name="ID"/>
    <x:tableColumn id="2" name="Módulo / Clase"/>
    <x:tableColumn id="3" name="Función / Método"/>
    <x:tableColumn id="4" name="Tipo de caso"/>
    <x:tableColumn id="5" name="Descripción del caso"/>
    <x:tableColumn id="6" name="Datos de entrada"/>
    <x:tableColumn id="7" name="Resultado esperado"/>
    <x:tableColumn id="8" name="Resultado obtenido"/>
    <x:tableColumn id="9" name="Estado"/>
    <x:tableColumn id="10" name="Responsable"/>
    <x:tableColumn id="11" name="Fecha ejecución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87ce7fb3542474f" /><Relationship Type="http://schemas.openxmlformats.org/officeDocument/2006/relationships/vmlDrawing" Target="/xl/drawings/vmldrawing.vml" Id="R77d85149c0d74695" /><Relationship Type="http://schemas.openxmlformats.org/officeDocument/2006/relationships/table" Target="/xl/tables/table1.xml" Id="R7934d6b9783642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1.25" hidden="0" customWidth="1"/>
    <x:col min="2" max="2" width="70" hidden="0" customWidth="1"/>
  </x:cols>
  <x:sheetData>
    <x:row r="1" ht="19.700000762939453" hidden="0">
      <x:c r="A1" s="37" t="s">
        <x:v>0</x:v>
      </x:c>
      <x:c r="B1" s="22"/>
    </x:row>
    <x:row r="2">
      <x:c r="A2" s="22"/>
      <x:c r="B2" s="22"/>
    </x:row>
    <x:row r="3" ht="15" hidden="0">
      <x:c r="A3" s="23" t="s">
        <x:v>1</x:v>
      </x:c>
      <x:c r="B3" s="33" t="str">
        <x:v>Pastelería 1000 Sabores ReactPort</x:v>
      </x:c>
    </x:row>
    <x:row r="4" ht="15" hidden="0">
      <x:c r="A4" s="23" t="s">
        <x:v>2</x:v>
      </x:c>
      <x:c r="B4" s="33" t="str">
        <x:v>DSY1104 — Desarrollo Fullstack II</x:v>
      </x:c>
    </x:row>
    <x:row r="5" ht="15" hidden="0">
      <x:c r="A5" s="23" t="s">
        <x:v>3</x:v>
      </x:c>
      <x:c r="B5" s="33" t="str">
        <x:v>Diego Roble, Victoria Arias y Vicente Perez</x:v>
      </x:c>
    </x:row>
    <x:row r="6" ht="15" hidden="0">
      <x:c r="A6" s="23" t="s">
        <x:v>4</x:v>
      </x:c>
      <x:c r="B6" s="34" t="str">
        <x:v>JavaScript / React — Jasmine y Karma</x:v>
      </x:c>
    </x:row>
    <x:row r="7">
      <x:c r="A7" s="22"/>
      <x:c r="B7" s="35"/>
    </x:row>
    <x:row r="8" ht="15" hidden="0">
      <x:c r="A8" s="28" t="s">
        <x:v>5</x:v>
      </x:c>
      <x:c r="B8" s="35"/>
    </x:row>
    <x:row r="9" ht="18.75" hidden="0" customHeight="1">
      <x:c r="A9" s="27" t="s">
        <x:v>6</x:v>
      </x:c>
      <x:c r="B9" s="35"/>
    </x:row>
    <x:row r="10" ht="18.75" hidden="0" customHeight="1">
      <x:c r="A10" s="27" t="s">
        <x:v>7</x:v>
      </x:c>
      <x:c r="B10" s="35"/>
    </x:row>
    <x:row r="11" ht="18.75" hidden="0" customHeight="1">
      <x:c r="A11" s="27" t="str">
        <x:v>3. Este registro contiene resultados reales; cada nueva ejecución requiere actualizar los casos.</x:v>
      </x:c>
      <x:c r="B11" s="35"/>
    </x:row>
    <x:row r="12" ht="18.75" hidden="0" customHeight="1">
      <x:c r="A12" s="27" t="s">
        <x:v>8</x:v>
      </x:c>
      <x:c r="B12" s="35"/>
    </x:row>
    <x:row r="13" ht="18.75" hidden="0" customHeight="1">
      <x:c r="A13" s="27" t="s">
        <x:v>9</x:v>
      </x:c>
      <x:c r="B13" s="35"/>
    </x:row>
    <x:row r="14" ht="18.75" hidden="0" customHeight="1">
      <x:c r="A14" s="27" t="s">
        <x:v>10</x:v>
      </x:c>
      <x:c r="B14" s="35"/>
    </x:row>
    <x:row r="15" ht="18.75" hidden="0" customHeight="1">
      <x:c r="A15" s="27" t="s">
        <x:v>11</x:v>
      </x:c>
      <x:c r="B15" s="35"/>
    </x:row>
    <x:row r="16" ht="18.75" hidden="0" customHeight="1">
      <x:c r="A16" s="27" t="s">
        <x:v>12</x:v>
      </x:c>
      <x:c r="B16" s="35"/>
    </x:row>
    <x:row r="17" ht="15" hidden="0">
      <x:c r="A17" s="27"/>
      <x:c r="B17" s="35"/>
    </x:row>
    <x:row r="18" ht="15" hidden="0">
      <x:c r="A18" s="23" t="s">
        <x:v>13</x:v>
      </x:c>
      <x:c r="B18" s="35"/>
    </x:row>
    <x:row r="19" ht="15" hidden="0">
      <x:c r="A19" s="27" t="s">
        <x:v>14</x:v>
      </x:c>
      <x:c r="B19" s="35"/>
    </x:row>
    <x:row r="20" ht="15" hidden="0">
      <x:c r="A20" s="27" t="s">
        <x:v>15</x:v>
      </x:c>
      <x:c r="B20" s="35"/>
    </x:row>
    <x:row r="21" ht="15" hidden="0">
      <x:c r="A21" s="27" t="s">
        <x:v>16</x:v>
      </x:c>
      <x:c r="B21" s="35"/>
    </x:row>
    <x:row r="22">
      <x:c r="A22" s="22"/>
      <x:c r="B22" s="35"/>
    </x:row>
    <x:row r="23" ht="28.5" customHeight="1">
      <x:c r="A23" s="22" t="str">
        <x:v>Fuente de los resultados:</x:v>
      </x:c>
      <x:c r="B23" s="35" t="str">
        <x:v>Ejecución automática Jasmine/Karma; resultados-pruebas.json</x:v>
      </x:c>
    </x:row>
    <x:row r="24" ht="28.5" customHeight="1">
      <x:c r="A24" s="22" t="str">
        <x:v>Fecha de ejecución (Chile):</x:v>
      </x:c>
      <x:c r="B24" s="36" t="d">
        <x:v>2026-10-14T00:00:00.000Z</x:v>
      </x:c>
    </x:row>
    <x:row r="25" ht="28.5" customHeight="1">
      <x:c r="A25" s="22" t="str">
        <x:v>Responsables:</x:v>
      </x:c>
      <x:c r="B25" s="35" t="str">
        <x:v>Equipo conjunto: Diego Roble, Victoria Arias y Vicente Perez. Sin asignación individual de casos.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10.630000114440918" hidden="0" customWidth="1"/>
    <x:col min="2" max="2" width="20" hidden="0" customWidth="1"/>
    <x:col min="3" max="3" width="26.25" hidden="0" customWidth="1"/>
    <x:col min="4" max="4" width="11.880000114440918" hidden="0" customWidth="1"/>
    <x:col min="5" max="5" width="37.5" hidden="0" customWidth="1"/>
    <x:col min="6" max="8" width="24" hidden="0" customWidth="1"/>
    <x:col min="9" max="9" width="11.25" hidden="0" customWidth="1"/>
    <x:col min="10" max="10" width="24.3799991607666" hidden="0" customWidth="1"/>
    <x:col min="11" max="11" width="15.630000114440918" hidden="0" customWidth="1"/>
    <x:col min="12" max="12" width="31.8799991607666" hidden="0" customWidth="1"/>
    <x:col min="6" max="6" width="42.5" hidden="0" customWidth="1"/>
    <x:col min="7" max="7" width="43.75" hidden="0" customWidth="1"/>
    <x:col min="8" max="8" width="32.5" hidden="0" customWidth="1"/>
  </x:cols>
  <x:sheetData>
    <x:row r="1" ht="39" hidden="0" customHeight="1">
      <x:c r="A1" s="43" t="s">
        <x:v>17</x:v>
      </x:c>
      <x:c r="B1" s="43" t="s">
        <x:v>18</x:v>
      </x:c>
      <x:c r="C1" s="43" t="s">
        <x:v>19</x:v>
      </x:c>
      <x:c r="D1" s="43" t="s">
        <x:v>20</x:v>
      </x:c>
      <x:c r="E1" s="43" t="s">
        <x:v>21</x:v>
      </x:c>
      <x:c r="F1" s="43" t="s">
        <x:v>22</x:v>
      </x:c>
      <x:c r="G1" s="43" t="s">
        <x:v>23</x:v>
      </x:c>
      <x:c r="H1" s="43" t="s">
        <x:v>24</x:v>
      </x:c>
      <x:c r="I1" s="43" t="s">
        <x:v>25</x:v>
      </x:c>
      <x:c r="J1" s="43" t="s">
        <x:v>26</x:v>
      </x:c>
      <x:c r="K1" s="43" t="s">
        <x:v>27</x:v>
      </x:c>
      <x:c r="L1" s="43" t="s">
        <x:v>28</x:v>
      </x:c>
    </x:row>
    <x:row r="2" ht="78.75" hidden="0" customHeight="1">
      <x:c r="A2" s="44" t="str">
        <x:v>PU-001</x:v>
      </x:c>
      <x:c r="B2" s="44" t="str">
        <x:v>Alerta</x:v>
      </x:c>
      <x:c r="C2" s="44" t="str">
        <x:v>Contenido y tipo</x:v>
      </x:c>
      <x:c r="D2" s="44" t="str">
        <x:v>Normal</x:v>
      </x:c>
      <x:c r="E2" s="44" t="str">
        <x:v>Alerta muestra un mensaje de éxito</x:v>
      </x:c>
      <x:c r="F2" s="44" t="str">
        <x:v>Texto Guardado y tipo success</x:v>
      </x:c>
      <x:c r="G2" s="44" t="str">
        <x:v>Texto, color success y role status</x:v>
      </x:c>
      <x:c r="H2" s="44" t="str">
        <x:v>Todas las aserciones del caso se aprobaron</x:v>
      </x:c>
      <x:c r="I2" s="44" t="str">
        <x:v>Pasó</x:v>
      </x:c>
      <x:c r="J2" s="44" t="str">
        <x:v>Diego Roble, Victoria Arias y Vicente Perez</x:v>
      </x:c>
      <x:c r="K2" s="46" t="d">
        <x:v>2026-10-14T00:00:00.000Z</x:v>
      </x:c>
      <x:c r="L2" s="44" t="str">
        <x:v>Duración: 71 ms. Chrome Headless 155.0.0.0 (Windows 10)</x:v>
      </x:c>
    </x:row>
    <x:row r="3" ht="78.75" hidden="0" customHeight="1">
      <x:c r="A3" s="44" t="str">
        <x:v>PU-002</x:v>
      </x:c>
      <x:c r="B3" s="44" t="str">
        <x:v>Alerta</x:v>
      </x:c>
      <x:c r="C3" s="44" t="str">
        <x:v>Visibilidad</x:v>
      </x:c>
      <x:c r="D3" s="44" t="str">
        <x:v>Borde</x:v>
      </x:c>
      <x:c r="E3" s="44" t="str">
        <x:v>Alerta permite ocultar y mostrar el contenido</x:v>
      </x:c>
      <x:c r="F3" s="44" t="str">
        <x:v>visible false y luego true</x:v>
      </x:c>
      <x:c r="G3" s="44" t="str">
        <x:v>Oculta al inicio y visible después</x:v>
      </x:c>
      <x:c r="H3" s="44" t="str">
        <x:v>Todas las aserciones del caso se aprobaron</x:v>
      </x:c>
      <x:c r="I3" s="44" t="str">
        <x:v>Pasó</x:v>
      </x:c>
      <x:c r="J3" s="44" t="str">
        <x:v>Diego Roble, Victoria Arias y Vicente Perez</x:v>
      </x:c>
      <x:c r="K3" s="46" t="d">
        <x:v>2026-10-14T00:00:00.000Z</x:v>
      </x:c>
      <x:c r="L3" s="44" t="str">
        <x:v>Duración: 4 ms. Chrome Headless 155.0.0.0 (Windows 10)</x:v>
      </x:c>
    </x:row>
    <x:row r="4" ht="78.75" hidden="0" customHeight="1">
      <x:c r="A4" s="44" t="str">
        <x:v>PU-003</x:v>
      </x:c>
      <x:c r="B4" s="44" t="str">
        <x:v>AlertaFormulario</x:v>
      </x:c>
      <x:c r="C4" s="44" t="str">
        <x:v>Mensaje vacío</x:v>
      </x:c>
      <x:c r="D4" s="44" t="str">
        <x:v>Borde</x:v>
      </x:c>
      <x:c r="E4" s="44" t="str">
        <x:v>AlertaFormulario se oculta sin mensaje</x:v>
      </x:c>
      <x:c r="F4" s="44" t="str">
        <x:v>mensaje null</x:v>
      </x:c>
      <x:c r="G4" s="44" t="str">
        <x:v>Alerta vacía y oculta</x:v>
      </x:c>
      <x:c r="H4" s="44" t="str">
        <x:v>Todas las aserciones del caso se aprobaron</x:v>
      </x:c>
      <x:c r="I4" s="44" t="str">
        <x:v>Pasó</x:v>
      </x:c>
      <x:c r="J4" s="44" t="str">
        <x:v>Diego Roble, Victoria Arias y Vicente Perez</x:v>
      </x:c>
      <x:c r="K4" s="46" t="d">
        <x:v>2026-10-14T00:00:00.000Z</x:v>
      </x:c>
      <x:c r="L4" s="44" t="str">
        <x:v>Duración: 2 ms. Chrome Headless 155.0.0.0 (Windows 10)</x:v>
      </x:c>
    </x:row>
    <x:row r="5" ht="78.75" hidden="0" customHeight="1">
      <x:c r="A5" s="44" t="str">
        <x:v>PU-004</x:v>
      </x:c>
      <x:c r="B5" s="44" t="str">
        <x:v>AlertaFormulario</x:v>
      </x:c>
      <x:c r="C5" s="44" t="str">
        <x:v>Errores y referencia React</x:v>
      </x:c>
      <x:c r="D5" s="44" t="str">
        <x:v>Error</x:v>
      </x:c>
      <x:c r="E5" s="44" t="str">
        <x:v>AlertaFormulario muestra varios errores</x:v>
      </x:c>
      <x:c r="F5" s="44" t="str">
        <x:v>Dos errores y una referencia React</x:v>
      </x:c>
      <x:c r="G5" s="44" t="str">
        <x:v>Dos textos separados por br, role alert y ref al elemento</x:v>
      </x:c>
      <x:c r="H5" s="44" t="str">
        <x:v>Todas las aserciones del caso se aprobaron</x:v>
      </x:c>
      <x:c r="I5" s="44" t="str">
        <x:v>Pasó</x:v>
      </x:c>
      <x:c r="J5" s="44" t="str">
        <x:v>Diego Roble, Victoria Arias y Vicente Perez</x:v>
      </x:c>
      <x:c r="K5" s="46" t="d">
        <x:v>2026-10-14T00:00:00.000Z</x:v>
      </x:c>
      <x:c r="L5" s="44" t="str">
        <x:v>Duración: 4 ms. Chrome Headless 155.0.0.0 (Windows 10)</x:v>
      </x:c>
    </x:row>
    <x:row r="6" ht="78.75" hidden="0" customHeight="1">
      <x:c r="A6" s="44" t="str">
        <x:v>PU-005</x:v>
      </x:c>
      <x:c r="B6" s="44" t="str">
        <x:v>Notificacion</x:v>
      </x:c>
      <x:c r="C6" s="44" t="str">
        <x:v>Contenido recibido</x:v>
      </x:c>
      <x:c r="D6" s="44" t="str">
        <x:v>Normal</x:v>
      </x:c>
      <x:c r="E6" s="44" t="str">
        <x:v>Notificacion recibe su contenido</x:v>
      </x:c>
      <x:c r="F6" s="44" t="str">
        <x:v>Texto Producto agregado</x:v>
      </x:c>
      <x:c r="G6" s="44" t="str">
        <x:v>Texto recibido y role status</x:v>
      </x:c>
      <x:c r="H6" s="44" t="str">
        <x:v>Todas las aserciones del caso se aprobaron</x:v>
      </x:c>
      <x:c r="I6" s="44" t="str">
        <x:v>Pasó</x:v>
      </x:c>
      <x:c r="J6" s="44" t="str">
        <x:v>Diego Roble, Victoria Arias y Vicente Perez</x:v>
      </x:c>
      <x:c r="K6" s="46" t="d">
        <x:v>2026-10-14T00:00:00.000Z</x:v>
      </x:c>
      <x:c r="L6" s="44" t="str">
        <x:v>Duración: 5 ms. Chrome Headless 155.0.0.0 (Windows 10)</x:v>
      </x:c>
    </x:row>
    <x:row r="7" ht="78.75" hidden="0" customHeight="1">
      <x:c r="A7" s="44" t="str">
        <x:v>PU-006</x:v>
      </x:c>
      <x:c r="B7" s="44" t="str">
        <x:v>TarjetasProductos</x:v>
      </x:c>
      <x:c r="C7" s="44" t="str">
        <x:v>Producto y descuento</x:v>
      </x:c>
      <x:c r="D7" s="44" t="str">
        <x:v>Normal</x:v>
      </x:c>
      <x:c r="E7" s="44" t="str">
        <x:v>Tarjetas muestra el producto y su descuento</x:v>
      </x:c>
      <x:c r="F7" s="44" t="str">
        <x:v>Producto de 10000 con descuento 20%</x:v>
      </x:c>
      <x:c r="G7" s="44" t="str">
        <x:v>Nombre y precio final 8000</x:v>
      </x:c>
      <x:c r="H7" s="44" t="str">
        <x:v>Todas las aserciones del caso se aprobaron</x:v>
      </x:c>
      <x:c r="I7" s="44" t="str">
        <x:v>Pasó</x:v>
      </x:c>
      <x:c r="J7" s="44" t="str">
        <x:v>Diego Roble, Victoria Arias y Vicente Perez</x:v>
      </x:c>
      <x:c r="K7" s="46" t="d">
        <x:v>2026-10-14T00:00:00.000Z</x:v>
      </x:c>
      <x:c r="L7" s="44" t="str">
        <x:v>Duración: 49 ms. Chrome Headless 155.0.0.0 (Windows 10)</x:v>
      </x:c>
    </x:row>
    <x:row r="8" ht="78.75" hidden="0" customHeight="1">
      <x:c r="A8" s="44" t="str">
        <x:v>PU-007</x:v>
      </x:c>
      <x:c r="B8" s="44" t="str">
        <x:v>TarjetasProductos</x:v>
      </x:c>
      <x:c r="C8" s="44" t="str">
        <x:v>Evento agregar / callback</x:v>
      </x:c>
      <x:c r="D8" s="44" t="str">
        <x:v>Normal</x:v>
      </x:c>
      <x:c r="E8" s="44" t="str">
        <x:v>Agregar al carrito llama a la notificación</x:v>
      </x:c>
      <x:c r="F8" s="44" t="str">
        <x:v>Clic Agregar al carrito y callback spy</x:v>
      </x:c>
      <x:c r="G8" s="44" t="str">
        <x:v>Una llamada y producto guardado</x:v>
      </x:c>
      <x:c r="H8" s="44" t="str">
        <x:v>Todas las aserciones del caso se aprobaron</x:v>
      </x:c>
      <x:c r="I8" s="44" t="str">
        <x:v>Pasó</x:v>
      </x:c>
      <x:c r="J8" s="44" t="str">
        <x:v>Diego Roble, Victoria Arias y Vicente Perez</x:v>
      </x:c>
      <x:c r="K8" s="46" t="d">
        <x:v>2026-10-14T00:00:00.000Z</x:v>
      </x:c>
      <x:c r="L8" s="44" t="str">
        <x:v>Duración: 12 ms. Chrome Headless 155.0.0.0 (Windows 10)</x:v>
      </x:c>
    </x:row>
    <x:row r="9" ht="78.75" hidden="0" customHeight="1">
      <x:c r="A9" s="44" t="str">
        <x:v>PU-008</x:v>
      </x:c>
      <x:c r="B9" s="44" t="str">
        <x:v>CatalogoProductos</x:v>
      </x:c>
      <x:c r="C9" s="44" t="str">
        <x:v>Evento búsqueda</x:v>
      </x:c>
      <x:c r="D9" s="44" t="str">
        <x:v>Normal</x:v>
      </x:c>
      <x:c r="E9" s="44" t="str">
        <x:v>La búsqueda filtra el catálogo</x:v>
      </x:c>
      <x:c r="F9" s="44" t="str">
        <x:v>Escribir FRUTILLA</x:v>
      </x:c>
      <x:c r="G9" s="44" t="str">
        <x:v>Una tarjeta de Pastel de Frutilla</x:v>
      </x:c>
      <x:c r="H9" s="44" t="str">
        <x:v>Todas las aserciones del caso se aprobaron</x:v>
      </x:c>
      <x:c r="I9" s="44" t="str">
        <x:v>Pasó</x:v>
      </x:c>
      <x:c r="J9" s="44" t="str">
        <x:v>Diego Roble, Victoria Arias y Vicente Perez</x:v>
      </x:c>
      <x:c r="K9" s="46" t="d">
        <x:v>2026-10-14T00:00:00.000Z</x:v>
      </x:c>
      <x:c r="L9" s="44" t="str">
        <x:v>Duración: 72 ms. Chrome Headless 155.0.0.0 (Windows 10)</x:v>
      </x:c>
    </x:row>
    <x:row r="10" ht="78.75" hidden="0" customHeight="1">
      <x:c r="A10" s="44" t="str">
        <x:v>PU-009</x:v>
      </x:c>
      <x:c r="B10" s="44" t="str">
        <x:v>FilasCarrito</x:v>
      </x:c>
      <x:c r="C10" s="44" t="str">
        <x:v>Carrito vacío</x:v>
      </x:c>
      <x:c r="D10" s="44" t="str">
        <x:v>Borde</x:v>
      </x:c>
      <x:c r="E10" s="44" t="str">
        <x:v>El carrito vacío muestra una alerta</x:v>
      </x:c>
      <x:c r="F10" s="44" t="str">
        <x:v>Carrito sin productos</x:v>
      </x:c>
      <x:c r="G10" s="44" t="str">
        <x:v>Mensaje informativo de carrito vacío</x:v>
      </x:c>
      <x:c r="H10" s="44" t="str">
        <x:v>Todas las aserciones del caso se aprobaron</x:v>
      </x:c>
      <x:c r="I10" s="44" t="str">
        <x:v>Pasó</x:v>
      </x:c>
      <x:c r="J10" s="44" t="str">
        <x:v>Diego Roble, Victoria Arias y Vicente Perez</x:v>
      </x:c>
      <x:c r="K10" s="46" t="d">
        <x:v>2026-10-14T00:00:00.000Z</x:v>
      </x:c>
      <x:c r="L10" s="44" t="str">
        <x:v>Duración: 2 ms. Chrome Headless 155.0.0.0 (Windows 10)</x:v>
      </x:c>
    </x:row>
    <x:row r="11" ht="78.75" hidden="0" customHeight="1">
      <x:c r="A11" s="44" t="str">
        <x:v>PU-010</x:v>
      </x:c>
      <x:c r="B11" s="44" t="str">
        <x:v>FormularioProducto</x:v>
      </x:c>
      <x:c r="C11" s="44" t="str">
        <x:v>Props y evento submit</x:v>
      </x:c>
      <x:c r="D11" s="44" t="str">
        <x:v>Normal</x:v>
      </x:c>
      <x:c r="E11" s="44" t="str">
        <x:v>FormularioProducto entrega el precio editado</x:v>
      </x:c>
      <x:c r="F11" s="44" t="str">
        <x:v>Producto recibido por props y precio 15000</x:v>
      </x:c>
      <x:c r="G11" s="44" t="str">
        <x:v>Nombre precargado y callback con precio 15000</x:v>
      </x:c>
      <x:c r="H11" s="44" t="str">
        <x:v>Todas las aserciones del caso se aprobaron</x:v>
      </x:c>
      <x:c r="I11" s="44" t="str">
        <x:v>Pasó</x:v>
      </x:c>
      <x:c r="J11" s="44" t="str">
        <x:v>Diego Roble, Victoria Arias y Vicente Perez</x:v>
      </x:c>
      <x:c r="K11" s="46" t="d">
        <x:v>2026-10-14T00:00:00.000Z</x:v>
      </x:c>
      <x:c r="L11" s="44" t="str">
        <x:v>Duración: 7 ms. Chrome Headless 155.0.0.0 (Windows 10)</x:v>
      </x:c>
    </x:row>
    <x:row r="12" ht="15" hidden="0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9"/>
      <x:c r="L12" s="8"/>
    </x:row>
    <x:row r="13" ht="15" hidden="0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9"/>
      <x:c r="L13" s="8"/>
    </x:row>
    <x:row r="14" ht="15" hidden="0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9"/>
      <x:c r="L14" s="8"/>
    </x:row>
    <x:row r="15" ht="15" hidden="0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9"/>
      <x:c r="L15" s="8"/>
    </x:row>
    <x:row r="16" ht="15" hidden="0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9"/>
      <x:c r="L16" s="8"/>
    </x:row>
    <x:row r="17" ht="15" hidden="0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9"/>
      <x:c r="L17" s="8"/>
    </x:row>
    <x:row r="18" ht="15" hidden="0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9"/>
      <x:c r="L18" s="8"/>
    </x:row>
    <x:row r="19" ht="15" hidden="0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9"/>
      <x:c r="L19" s="8"/>
    </x:row>
    <x:row r="20" ht="15" hidden="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9"/>
      <x:c r="L20" s="8"/>
    </x:row>
    <x:row r="21" ht="15" hidden="0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9"/>
      <x:c r="L21" s="8"/>
    </x:row>
    <x:row r="22" ht="15" hidden="0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9"/>
      <x:c r="L22" s="8"/>
    </x:row>
    <x:row r="23" ht="15" hidden="0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9"/>
      <x:c r="L23" s="8"/>
    </x:row>
    <x:row r="24" ht="15" hidden="0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9"/>
      <x:c r="L24" s="8"/>
    </x:row>
    <x:row r="25" ht="15" hidden="0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9"/>
      <x:c r="L25" s="8"/>
    </x:row>
    <x:row r="26" ht="15" hidden="0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9"/>
      <x:c r="L26" s="8"/>
    </x:row>
    <x:row r="27" ht="15" hidden="0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9"/>
      <x:c r="L27" s="8"/>
    </x:row>
    <x:row r="28" ht="15" hidden="0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9"/>
      <x:c r="L28" s="8"/>
    </x:row>
    <x:row r="29" ht="15" hidden="0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9"/>
      <x:c r="L29" s="8"/>
    </x:row>
    <x:row r="30" ht="15" hidden="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9"/>
      <x:c r="L30" s="8"/>
    </x:row>
    <x:row r="31" ht="15" hidden="0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9"/>
      <x:c r="L31" s="8"/>
    </x:row>
    <x:row r="32" ht="15" hidden="0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9"/>
      <x:c r="L32" s="8"/>
    </x:row>
    <x:row r="33" ht="15" hidden="0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9"/>
      <x:c r="L33" s="8"/>
    </x:row>
    <x:row r="34" ht="15" hidden="0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9"/>
      <x:c r="L34" s="8"/>
    </x:row>
    <x:row r="35" ht="15" hidden="0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9"/>
      <x:c r="L35" s="8"/>
    </x:row>
    <x:row r="36" ht="15" hidden="0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9"/>
      <x:c r="L36" s="8"/>
    </x:row>
    <x:row r="37" ht="15" hidden="0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9"/>
      <x:c r="L37" s="8"/>
    </x:row>
    <x:row r="38" ht="15" hidden="0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9"/>
      <x:c r="L38" s="8"/>
    </x:row>
    <x:row r="39" ht="15" hidden="0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9"/>
      <x:c r="L39" s="8"/>
    </x:row>
    <x:row r="40" ht="15" hidden="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9"/>
      <x:c r="L40" s="8"/>
    </x:row>
    <x:row r="41" ht="15" hidden="0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9"/>
      <x:c r="L41" s="8"/>
    </x:row>
    <x:row r="42" ht="15" hidden="0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9"/>
      <x:c r="L42" s="8"/>
    </x:row>
    <x:row r="43" ht="15" hidden="0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9"/>
      <x:c r="L43" s="8"/>
    </x:row>
    <x:row r="44" ht="15" hidden="0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9"/>
      <x:c r="L44" s="8"/>
    </x:row>
    <x:row r="45" ht="15" hidden="0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9"/>
      <x:c r="L45" s="8"/>
    </x:row>
    <x:row r="46" ht="15" hidden="0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9"/>
      <x:c r="L46" s="8"/>
    </x:row>
    <x:row r="47" ht="15" hidden="0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9"/>
      <x:c r="L47" s="8"/>
    </x:row>
    <x:row r="48" ht="15" hidden="0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9"/>
      <x:c r="L48" s="8"/>
    </x:row>
    <x:row r="49" ht="15" hidden="0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9"/>
      <x:c r="L49" s="8"/>
    </x:row>
    <x:row r="50" ht="15" hidden="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9"/>
      <x:c r="L50" s="8"/>
    </x:row>
    <x:row r="51" ht="15" hidden="0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9"/>
      <x:c r="L51" s="8"/>
    </x:row>
    <x:row r="52" ht="15" hidden="0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9"/>
      <x:c r="L52" s="8"/>
    </x:row>
    <x:row r="53" ht="15" hidden="0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9"/>
      <x:c r="L53" s="8"/>
    </x:row>
    <x:row r="54" ht="15" hidden="0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9"/>
      <x:c r="L54" s="8"/>
    </x:row>
    <x:row r="55" ht="15" hidden="0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9"/>
      <x:c r="L55" s="8"/>
    </x:row>
    <x:row r="56" ht="15" hidden="0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9"/>
      <x:c r="L56" s="8"/>
    </x:row>
    <x:row r="57" ht="15" hidden="0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9"/>
      <x:c r="L57" s="8"/>
    </x:row>
    <x:row r="58" ht="15" hidden="0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9"/>
      <x:c r="L58" s="8"/>
    </x:row>
    <x:row r="59" ht="15" hidden="0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9"/>
      <x:c r="L59" s="8"/>
    </x:row>
    <x:row r="60" ht="15" hidden="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9"/>
      <x:c r="L60" s="8"/>
    </x:row>
    <x:row r="61" ht="15" hidden="0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9"/>
      <x:c r="L61" s="8"/>
    </x:row>
    <x:row r="62" ht="15" hidden="0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9"/>
      <x:c r="L62" s="8"/>
    </x:row>
    <x:row r="63" ht="15" hidden="0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9"/>
      <x:c r="L63" s="8"/>
    </x:row>
    <x:row r="64" ht="15" hidden="0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9"/>
      <x:c r="L64" s="8"/>
    </x:row>
    <x:row r="65" ht="15" hidden="0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9"/>
      <x:c r="L65" s="8"/>
    </x:row>
    <x:row r="66" ht="15" hidden="0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9"/>
      <x:c r="L66" s="8"/>
    </x:row>
    <x:row r="67" ht="15" hidden="0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9"/>
      <x:c r="L67" s="8"/>
    </x:row>
    <x:row r="68" ht="15" hidden="0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9"/>
      <x:c r="L68" s="8"/>
    </x:row>
    <x:row r="69" ht="15" hidden="0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9"/>
      <x:c r="L69" s="8"/>
    </x:row>
    <x:row r="70" ht="15" hidden="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9"/>
      <x:c r="L70" s="8"/>
    </x:row>
    <x:row r="71" ht="15" hidden="0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9"/>
      <x:c r="L71" s="8"/>
    </x:row>
    <x:row r="72" ht="15" hidden="0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9"/>
      <x:c r="L72" s="8"/>
    </x:row>
    <x:row r="73" ht="15" hidden="0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9"/>
      <x:c r="L73" s="8"/>
    </x:row>
    <x:row r="74" ht="15" hidden="0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9"/>
      <x:c r="L74" s="8"/>
    </x:row>
    <x:row r="75" ht="15" hidden="0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9"/>
      <x:c r="L75" s="8"/>
    </x:row>
    <x:row r="76" ht="15" hidden="0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9"/>
      <x:c r="L76" s="8"/>
    </x:row>
    <x:row r="77" ht="15" hidden="0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9"/>
      <x:c r="L77" s="8"/>
    </x:row>
    <x:row r="78" ht="15" hidden="0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9"/>
      <x:c r="L78" s="8"/>
    </x:row>
    <x:row r="79" ht="15" hidden="0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9"/>
      <x:c r="L79" s="8"/>
    </x:row>
    <x:row r="80" ht="15" hidden="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9"/>
      <x:c r="L80" s="8"/>
    </x:row>
    <x:row r="81" ht="15" hidden="0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9"/>
      <x:c r="L81" s="8"/>
    </x:row>
    <x:row r="82" ht="15" hidden="0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9"/>
      <x:c r="L82" s="8"/>
    </x:row>
    <x:row r="83" ht="15" hidden="0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9"/>
      <x:c r="L83" s="8"/>
    </x:row>
    <x:row r="84" ht="15" hidden="0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9"/>
      <x:c r="L84" s="8"/>
    </x:row>
    <x:row r="85" ht="15" hidden="0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9"/>
      <x:c r="L85" s="8"/>
    </x:row>
    <x:row r="86" ht="15" hidden="0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9"/>
      <x:c r="L86" s="8"/>
    </x:row>
    <x:row r="87" ht="15" hidden="0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9"/>
      <x:c r="L87" s="8"/>
    </x:row>
    <x:row r="88" ht="15" hidden="0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9"/>
      <x:c r="L88" s="8"/>
    </x:row>
    <x:row r="89" ht="15" hidden="0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9"/>
      <x:c r="L89" s="8"/>
    </x:row>
    <x:row r="90" ht="15" hidden="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9"/>
      <x:c r="L90" s="8"/>
    </x:row>
    <x:row r="91" ht="15" hidden="0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9"/>
      <x:c r="L91" s="8"/>
    </x:row>
    <x:row r="92" ht="15" hidden="0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9"/>
      <x:c r="L92" s="8"/>
    </x:row>
    <x:row r="93" ht="15" hidden="0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9"/>
      <x:c r="L93" s="8"/>
    </x:row>
    <x:row r="94" ht="15" hidden="0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9"/>
      <x:c r="L94" s="8"/>
    </x:row>
    <x:row r="95" ht="15" hidden="0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9"/>
      <x:c r="L95" s="8"/>
    </x:row>
    <x:row r="96" ht="15" hidden="0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9"/>
      <x:c r="L96" s="8"/>
    </x:row>
    <x:row r="97" ht="15" hidden="0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9"/>
      <x:c r="L97" s="8"/>
    </x:row>
    <x:row r="98" ht="15" hidden="0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9"/>
      <x:c r="L98" s="8"/>
    </x:row>
    <x:row r="99" ht="15" hidden="0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9"/>
      <x:c r="L99" s="8"/>
    </x:row>
    <x:row r="100" ht="15" hidden="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9"/>
      <x:c r="L100" s="8"/>
    </x:row>
    <x:row r="101" ht="15" hidden="0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9"/>
      <x:c r="L101" s="8"/>
    </x:row>
    <x:row r="102" ht="15" hidden="0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9"/>
      <x:c r="L102" s="8"/>
    </x:row>
    <x:row r="103" ht="15" hidden="0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9"/>
      <x:c r="L103" s="8"/>
    </x:row>
    <x:row r="104" ht="15" hidden="0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9"/>
      <x:c r="L104" s="8"/>
    </x:row>
    <x:row r="105" ht="15" hidden="0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9"/>
      <x:c r="L105" s="8"/>
    </x:row>
    <x:row r="106" ht="15" hidden="0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9"/>
      <x:c r="L106" s="8"/>
    </x:row>
    <x:row r="107" ht="15" hidden="0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9"/>
      <x:c r="L107" s="8"/>
    </x:row>
    <x:row r="108" ht="15" hidden="0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9"/>
      <x:c r="L108" s="8"/>
    </x:row>
    <x:row r="109" ht="15" hidden="0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9"/>
      <x:c r="L109" s="8"/>
    </x:row>
    <x:row r="110" ht="15" hidden="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9"/>
      <x:c r="L110" s="8"/>
    </x:row>
    <x:row r="111" ht="15" hidden="0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9"/>
      <x:c r="L111" s="8"/>
    </x:row>
    <x:row r="112" ht="15" hidden="0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9"/>
      <x:c r="L112" s="8"/>
    </x:row>
    <x:row r="113" ht="15" hidden="0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9"/>
      <x:c r="L113" s="8"/>
    </x:row>
    <x:row r="114" ht="15" hidden="0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9"/>
      <x:c r="L114" s="8"/>
    </x:row>
    <x:row r="115" ht="15" hidden="0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9"/>
      <x:c r="L115" s="8"/>
    </x:row>
    <x:row r="116" ht="15" hidden="0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9"/>
      <x:c r="L116" s="8"/>
    </x:row>
    <x:row r="117" ht="15" hidden="0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9"/>
      <x:c r="L117" s="8"/>
    </x:row>
    <x:row r="118" ht="15" hidden="0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9"/>
      <x:c r="L118" s="8"/>
    </x:row>
    <x:row r="119" ht="15" hidden="0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9"/>
      <x:c r="L119" s="8"/>
    </x:row>
    <x:row r="120" ht="15" hidden="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9"/>
      <x:c r="L120" s="8"/>
    </x:row>
    <x:row r="121" ht="15" hidden="0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9"/>
      <x:c r="L121" s="8"/>
    </x:row>
    <x:row r="122" ht="15" hidden="0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9"/>
      <x:c r="L122" s="8"/>
    </x:row>
    <x:row r="123" ht="15" hidden="0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9"/>
      <x:c r="L123" s="8"/>
    </x:row>
    <x:row r="124" ht="15" hidden="0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9"/>
      <x:c r="L124" s="8"/>
    </x:row>
    <x:row r="125" ht="15" hidden="0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9"/>
      <x:c r="L125" s="8"/>
    </x:row>
    <x:row r="126" ht="15" hidden="0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9"/>
      <x:c r="L126" s="8"/>
    </x:row>
    <x:row r="127" ht="15" hidden="0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9"/>
      <x:c r="L127" s="8"/>
    </x:row>
    <x:row r="128" ht="15" hidden="0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9"/>
      <x:c r="L128" s="8"/>
    </x:row>
    <x:row r="129" ht="15" hidden="0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9"/>
      <x:c r="L129" s="8"/>
    </x:row>
    <x:row r="130" ht="15" hidden="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9"/>
      <x:c r="L130" s="8"/>
    </x:row>
    <x:row r="131" ht="15" hidden="0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9"/>
      <x:c r="L131" s="8"/>
    </x:row>
    <x:row r="132" ht="15" hidden="0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9"/>
      <x:c r="L132" s="8"/>
    </x:row>
    <x:row r="133" ht="15" hidden="0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9"/>
      <x:c r="L133" s="8"/>
    </x:row>
    <x:row r="134" ht="15" hidden="0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9"/>
      <x:c r="L134" s="8"/>
    </x:row>
    <x:row r="135" ht="15" hidden="0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9"/>
      <x:c r="L135" s="8"/>
    </x:row>
    <x:row r="136" ht="15" hidden="0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9"/>
      <x:c r="L136" s="8"/>
    </x:row>
    <x:row r="137" ht="15" hidden="0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9"/>
      <x:c r="L137" s="8"/>
    </x:row>
    <x:row r="138" ht="15" hidden="0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9"/>
      <x:c r="L138" s="8"/>
    </x:row>
    <x:row r="139" ht="15" hidden="0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9"/>
      <x:c r="L139" s="8"/>
    </x:row>
    <x:row r="140" ht="15" hidden="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9"/>
      <x:c r="L140" s="8"/>
    </x:row>
    <x:row r="141" ht="15" hidden="0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9"/>
      <x:c r="L141" s="8"/>
    </x:row>
    <x:row r="142" ht="15" hidden="0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9"/>
      <x:c r="L142" s="8"/>
    </x:row>
    <x:row r="143" ht="15" hidden="0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9"/>
      <x:c r="L143" s="8"/>
    </x:row>
    <x:row r="144" ht="15" hidden="0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9"/>
      <x:c r="L144" s="8"/>
    </x:row>
    <x:row r="145" ht="15" hidden="0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9"/>
      <x:c r="L145" s="8"/>
    </x:row>
    <x:row r="146" ht="15" hidden="0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9"/>
      <x:c r="L146" s="8"/>
    </x:row>
    <x:row r="147" ht="15" hidden="0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9"/>
      <x:c r="L147" s="8"/>
    </x:row>
    <x:row r="148" ht="15" hidden="0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9"/>
      <x:c r="L148" s="8"/>
    </x:row>
    <x:row r="149" ht="15" hidden="0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9"/>
      <x:c r="L149" s="8"/>
    </x:row>
    <x:row r="150" ht="15" hidden="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9"/>
      <x:c r="L150" s="8"/>
    </x:row>
    <x:row r="151" ht="15" hidden="0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9"/>
      <x:c r="L151" s="8"/>
    </x:row>
    <x:row r="152" ht="15" hidden="0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9"/>
      <x:c r="L152" s="8"/>
    </x:row>
    <x:row r="153" ht="15" hidden="0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9"/>
      <x:c r="L153" s="8"/>
    </x:row>
    <x:row r="154" ht="15" hidden="0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9"/>
      <x:c r="L154" s="8"/>
    </x:row>
    <x:row r="155" ht="15" hidden="0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9"/>
      <x:c r="L155" s="8"/>
    </x:row>
    <x:row r="156" ht="15" hidden="0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9"/>
      <x:c r="L156" s="8"/>
    </x:row>
    <x:row r="157" ht="15" hidden="0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9"/>
      <x:c r="L157" s="8"/>
    </x:row>
    <x:row r="158" ht="15" hidden="0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9"/>
      <x:c r="L158" s="8"/>
    </x:row>
    <x:row r="159" ht="15" hidden="0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9"/>
      <x:c r="L159" s="8"/>
    </x:row>
    <x:row r="160" ht="15" hidden="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9"/>
      <x:c r="L160" s="8"/>
    </x:row>
    <x:row r="161" ht="15" hidden="0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9"/>
      <x:c r="L161" s="8"/>
    </x:row>
    <x:row r="162" ht="15" hidden="0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9"/>
      <x:c r="L162" s="8"/>
    </x:row>
    <x:row r="163" ht="15" hidden="0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9"/>
      <x:c r="L163" s="8"/>
    </x:row>
    <x:row r="164" ht="15" hidden="0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9"/>
      <x:c r="L164" s="8"/>
    </x:row>
    <x:row r="165" ht="15" hidden="0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9"/>
      <x:c r="L165" s="8"/>
    </x:row>
    <x:row r="166" ht="15" hidden="0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9"/>
      <x:c r="L166" s="8"/>
    </x:row>
    <x:row r="167" ht="15" hidden="0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9"/>
      <x:c r="L167" s="8"/>
    </x:row>
    <x:row r="168" ht="15" hidden="0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9"/>
      <x:c r="L168" s="8"/>
    </x:row>
    <x:row r="169" ht="15" hidden="0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9"/>
      <x:c r="L169" s="8"/>
    </x:row>
    <x:row r="170" ht="15" hidden="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9"/>
      <x:c r="L170" s="8"/>
    </x:row>
    <x:row r="171" ht="15" hidden="0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9"/>
      <x:c r="L171" s="8"/>
    </x:row>
    <x:row r="172" ht="15" hidden="0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9"/>
      <x:c r="L172" s="8"/>
    </x:row>
    <x:row r="173" ht="15" hidden="0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9"/>
      <x:c r="L173" s="8"/>
    </x:row>
    <x:row r="174" ht="15" hidden="0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9"/>
      <x:c r="L174" s="8"/>
    </x:row>
    <x:row r="175" ht="15" hidden="0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9"/>
      <x:c r="L175" s="8"/>
    </x:row>
    <x:row r="176" ht="15" hidden="0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9"/>
      <x:c r="L176" s="8"/>
    </x:row>
    <x:row r="177" ht="15" hidden="0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9"/>
      <x:c r="L177" s="8"/>
    </x:row>
    <x:row r="178" ht="15" hidden="0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9"/>
      <x:c r="L178" s="8"/>
    </x:row>
    <x:row r="179" ht="15" hidden="0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9"/>
      <x:c r="L179" s="8"/>
    </x:row>
    <x:row r="180" ht="15" hidden="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9"/>
      <x:c r="L180" s="8"/>
    </x:row>
    <x:row r="181" ht="15" hidden="0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9"/>
      <x:c r="L181" s="8"/>
    </x:row>
    <x:row r="182" ht="15" hidden="0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9"/>
      <x:c r="L182" s="8"/>
    </x:row>
    <x:row r="183" ht="15" hidden="0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9"/>
      <x:c r="L183" s="8"/>
    </x:row>
    <x:row r="184" ht="15" hidden="0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9"/>
      <x:c r="L184" s="8"/>
    </x:row>
    <x:row r="185" ht="15" hidden="0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9"/>
      <x:c r="L185" s="8"/>
    </x:row>
    <x:row r="186" ht="15" hidden="0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9"/>
      <x:c r="L186" s="8"/>
    </x:row>
    <x:row r="187" ht="15" hidden="0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9"/>
      <x:c r="L187" s="8"/>
    </x:row>
    <x:row r="188" ht="15" hidden="0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9"/>
      <x:c r="L188" s="8"/>
    </x:row>
    <x:row r="189" ht="15" hidden="0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9"/>
      <x:c r="L189" s="8"/>
    </x:row>
    <x:row r="190" ht="15" hidden="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9"/>
      <x:c r="L190" s="8"/>
    </x:row>
    <x:row r="191" ht="15" hidden="0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9"/>
      <x:c r="L191" s="8"/>
    </x:row>
    <x:row r="192" ht="15" hidden="0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9"/>
      <x:c r="L192" s="8"/>
    </x:row>
    <x:row r="193" ht="15" hidden="0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9"/>
      <x:c r="L193" s="8"/>
    </x:row>
    <x:row r="194" ht="15" hidden="0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9"/>
      <x:c r="L194" s="8"/>
    </x:row>
    <x:row r="195" ht="15" hidden="0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9"/>
      <x:c r="L195" s="8"/>
    </x:row>
    <x:row r="196" ht="15" hidden="0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9"/>
      <x:c r="L196" s="8"/>
    </x:row>
    <x:row r="197" ht="15" hidden="0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9"/>
      <x:c r="L197" s="8"/>
    </x:row>
    <x:row r="198" ht="15" hidden="0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9"/>
      <x:c r="L198" s="8"/>
    </x:row>
    <x:row r="199" ht="15" hidden="0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9"/>
      <x:c r="L199" s="8"/>
    </x:row>
    <x:row r="200" ht="15" hidden="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9"/>
      <x:c r="L200" s="8"/>
    </x:row>
    <x:row r="201" ht="15" hidden="0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9"/>
      <x:c r="L201" s="8"/>
    </x:row>
  </x:sheetData>
  <x:conditionalFormatting sqref="I2:I201">
    <x:cfRule type="cellIs" dxfId="6" priority="2" aboveAverage="0" percent="0" bottom="0" operator="equal" rank="0" equalAverage="0">
      <x:formula>"Pasó"</x:formula>
    </x:cfRule>
    <x:cfRule type="cellIs" dxfId="7" priority="3" aboveAverage="0" percent="0" bottom="0" operator="equal" rank="0" equalAverage="0">
      <x:formula>"Falló"</x:formula>
    </x:cfRule>
    <x:cfRule type="cellIs" dxfId="8" priority="4" aboveAverage="0" percent="0" bottom="0" operator="equal" rank="0" equalAverage="0">
      <x:formula>"Pendiente"</x:formula>
    </x:cfRule>
    <x:cfRule type="cellIs" dxfId="9" priority="5" aboveAverage="0" percent="0" bottom="0" operator="equal" rank="0" equalAverage="0">
      <x:formula>"Omitido"</x:formula>
    </x:cfRule>
  </x:conditionalFormatting>
  <x:dataValidations count="4">
    <x:dataValidation type="list" errorStyle="stop" operator="between" allowBlank="1" showDropDown="0" showInputMessage="0" showErrorMessage="0" sqref="I12:I201">
      <x:formula1>"Pasó,Falló,Pendiente,Omitido"</x:formula1>
      <x:formula2>0</x:formula2>
    </x:dataValidation>
    <x:dataValidation type="list" errorStyle="stop" operator="between" allowBlank="1" showDropDown="0" showInputMessage="0" showErrorMessage="0" sqref="D12:D201">
      <x:formula1>"Normal,Borde,Error"</x:formula1>
      <x:formula2>0</x:formula2>
    </x:dataValidation>
    <x:dataValidation type="list" errorStyle="stop" allowBlank="1" showDropDown="0" showInputMessage="0" showErrorMessage="0" sqref="I2:I11">
      <x:formula1>"Pasó,Falló,Pendiente,Omitido"</x:formula1>
    </x:dataValidation>
    <x:dataValidation type="list" errorStyle="stop" allowBlank="1" showDropDown="0" showInputMessage="0" showErrorMessage="0" sqref="D2:D11">
      <x:formula1>"Normal,Borde,Error"</x:formula1>
    </x:dataValidation>
  </x:dataValidations>
  <x:pageMargins left="0.7" right="0.7" top="0.75" bottom="0.75" header="0.3" footer="0.3"/>
  <x:legacyDrawing xmlns:r="http://schemas.openxmlformats.org/officeDocument/2006/relationships" r:id="R77d85149c0d74695"/>
  <x:tableParts count="1">
    <x:tablePart xmlns:r="http://schemas.openxmlformats.org/officeDocument/2006/relationships" r:id="R7934d6b9783642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5.630001068115234" hidden="0" customWidth="1"/>
    <x:col min="2" max="4" width="12" hidden="0" customWidth="1"/>
    <x:col min="2" max="2" width="18.1299991607666" hidden="0" customWidth="1"/>
  </x:cols>
  <x:sheetData>
    <x:row r="1" ht="21.75" hidden="0" customHeight="1">
      <x:c r="A1" s="1" t="s">
        <x:v>29</x:v>
      </x:c>
    </x:row>
    <x:row r="2" ht="21.75" customHeight="1"/>
    <x:row r="3" ht="21.75" hidden="0" customHeight="1">
      <x:c r="A3" s="10" t="s">
        <x:v>30</x:v>
      </x:c>
      <x:c r="B3" s="47" t="n">
        <x:f aca="0">COUNTA('Casos de Prueba'!A2:A11)</x:f>
        <x:v>10</x:v>
      </x:c>
    </x:row>
    <x:row r="4" ht="21.75" hidden="0" customHeight="1">
      <x:c r="A4" s="12" t="s">
        <x:v>31</x:v>
      </x:c>
      <x:c r="B4" s="47" t="n">
        <x:f aca="0">COUNTIFS('Casos de Prueba'!I2:I11,A4)</x:f>
        <x:v>10</x:v>
      </x:c>
    </x:row>
    <x:row r="5" ht="21.75" hidden="0" customHeight="1">
      <x:c r="A5" s="13" t="s">
        <x:v>32</x:v>
      </x:c>
      <x:c r="B5" s="47" t="n">
        <x:f aca="0">COUNTIFS('Casos de Prueba'!I2:I11,A5)</x:f>
        <x:v>0</x:v>
      </x:c>
    </x:row>
    <x:row r="6" ht="21.75" hidden="0" customHeight="1">
      <x:c r="A6" s="14" t="s">
        <x:v>33</x:v>
      </x:c>
      <x:c r="B6" s="47" t="n">
        <x:f aca="0">COUNTIFS('Casos de Prueba'!I2:I11,A6)</x:f>
        <x:v>0</x:v>
      </x:c>
    </x:row>
    <x:row r="7" ht="21.75" hidden="0" customHeight="1">
      <x:c r="A7" s="15" t="s">
        <x:v>34</x:v>
      </x:c>
      <x:c r="B7" s="47" t="n">
        <x:f aca="0">COUNTIFS('Casos de Prueba'!I2:I11,A7)</x:f>
        <x:v>0</x:v>
      </x:c>
    </x:row>
    <x:row r="8" ht="21.75" hidden="0" customHeight="1">
      <x:c r="A8" s="10" t="s">
        <x:v>35</x:v>
      </x:c>
      <x:c r="B8" s="47" t="n">
        <x:f aca="0">B3-SUM(B4:B7)</x:f>
        <x:v>0</x:v>
      </x:c>
    </x:row>
    <x:row r="9" ht="21.75" hidden="0" customHeight="1">
      <x:c r="A9" s="10" t="s">
        <x:v>36</x:v>
      </x:c>
      <x:c r="B9" s="48" t="n">
        <x:f aca="0">IF(SUM(B4:B5)=0,0,B4/SUM(B4:B5))</x:f>
        <x:v>1</x:v>
      </x:c>
    </x:row>
    <x:row r="10" ht="21.75" hidden="0" customHeight="1">
      <x:c r="A10" s="10" t="s">
        <x:v>37</x:v>
      </x:c>
      <x:c r="B10" s="48" t="n">
        <x:f aca="0">IF(B3=0,0,SUM(B4:B5)/B3)</x:f>
        <x:v>1</x:v>
      </x:c>
    </x:row>
    <x:row r="13" ht="15" hidden="0">
      <x:c r="A13" s="5" t="s">
        <x:v>38</x:v>
      </x:c>
    </x:row>
    <x:row r="14" ht="15" hidden="0">
      <x:c r="A14" s="17" t="s">
        <x:v>39</x:v>
      </x:c>
      <x:c r="B14" s="17" t="s">
        <x:v>40</x:v>
      </x:c>
      <x:c r="C14" s="17" t="s">
        <x:v>31</x:v>
      </x:c>
      <x:c r="D14" s="17" t="s">
        <x:v>32</x:v>
      </x:c>
    </x:row>
    <x:row r="15" ht="15" hidden="0">
      <x:c r="A15" s="18" t="s">
        <x:v>41</x:v>
      </x:c>
      <x:c r="B15" s="11" t="n">
        <x:f aca="0">COUNTIF('Casos de Prueba'!D2:D201,A15)</x:f>
        <x:v>6</x:v>
      </x:c>
      <x:c r="C15" s="11" t="n">
        <x:f aca="0">COUNTIFS('Casos de Prueba'!D2:D201,A15,'Casos de Prueba'!I2:I201,"Pasó")</x:f>
        <x:v>6</x:v>
      </x:c>
      <x:c r="D15" s="11" t="n">
        <x:f aca="0">COUNTIFS('Casos de Prueba'!D2:D201,A15,'Casos de Prueba'!I2:I201,"Falló")</x:f>
        <x:v>0</x:v>
      </x:c>
    </x:row>
    <x:row r="16" ht="15" hidden="0">
      <x:c r="A16" s="18" t="s">
        <x:v>42</x:v>
      </x:c>
      <x:c r="B16" s="11" t="n">
        <x:f aca="0">COUNTIF('Casos de Prueba'!D2:D201,A16)</x:f>
        <x:v>3</x:v>
      </x:c>
      <x:c r="C16" s="11" t="n">
        <x:f aca="0">COUNTIFS('Casos de Prueba'!D2:D201,A16,'Casos de Prueba'!I2:I201,"Pasó")</x:f>
        <x:v>3</x:v>
      </x:c>
      <x:c r="D16" s="11" t="n">
        <x:f aca="0">COUNTIFS('Casos de Prueba'!D2:D201,A16,'Casos de Prueba'!I2:I201,"Falló")</x:f>
        <x:v>0</x:v>
      </x:c>
    </x:row>
    <x:row r="17" ht="15" hidden="0">
      <x:c r="A17" s="18" t="s">
        <x:v>43</x:v>
      </x:c>
      <x:c r="B17" s="11" t="n">
        <x:f aca="0">COUNTIF('Casos de Prueba'!D2:D201,A17)</x:f>
        <x:v>1</x:v>
      </x:c>
      <x:c r="C17" s="11" t="n">
        <x:f aca="0">COUNTIFS('Casos de Prueba'!D2:D201,A17,'Casos de Prueba'!I2:I201,"Pasó")</x:f>
        <x:v>1</x:v>
      </x:c>
      <x:c r="D17" s="11" t="n">
        <x:f aca="0">COUNTIFS('Casos de Prueba'!D2:D201,A17,'Casos de Prueba'!I2:I201,"Falló")</x:f>
        <x:v>0</x:v>
      </x:c>
    </x:row>
    <x:row r="20" ht="15" hidden="0">
      <x:c r="A20" s="19" t="s">
        <x:v>44</x:v>
      </x:c>
    </x:row>
  </x:sheetData>
  <x:pageMargins left="0.7" right="0.7" top="0.75" bottom="0.75" header="0.3" footer="0.3"/>
</x:worksheet>
</file>